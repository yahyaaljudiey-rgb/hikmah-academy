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aeda (Mr. Alnoabani)" sheetId="1" r:id="rId5"/>
    <sheet state="visible" name="Pri-Beg (Mr. Ammar)" sheetId="2" r:id="rId6"/>
    <sheet state="visible" name="Pri-Int (Mr. Mahfouz)" sheetId="3" r:id="rId7"/>
    <sheet state="visible" name="Pri-Adv (Mr. Yahya Lediju)" sheetId="4" r:id="rId8"/>
    <sheet state="visible" name="Sec-Beg-B1 (Mr. Arafat)" sheetId="5" r:id="rId9"/>
    <sheet state="visible" name="Sec-Beg-B2 (Mr. Ahmed Khalid)" sheetId="6" r:id="rId10"/>
    <sheet state="visible" name="Sec-Int (Mr. Hassan)" sheetId="7" r:id="rId11"/>
    <sheet state="visible" name="Sec-Adv (Mr. Yahya Mohsen)" sheetId="8" r:id="rId12"/>
  </sheets>
  <definedNames/>
  <calcPr/>
</workbook>
</file>

<file path=xl/sharedStrings.xml><?xml version="1.0" encoding="utf-8"?>
<sst xmlns="http://schemas.openxmlformats.org/spreadsheetml/2006/main" count="307" uniqueCount="146">
  <si>
    <t>Arabic Mid-Term Exam 2025</t>
  </si>
  <si>
    <t>Qaeda (Mr. Alnoabani)</t>
  </si>
  <si>
    <t>Student Name</t>
  </si>
  <si>
    <t>Year</t>
  </si>
  <si>
    <t>Reading (Fluency) (/5)</t>
  </si>
  <si>
    <t>Listening + Writing (/5)</t>
  </si>
  <si>
    <t>Arabic Language Rules and Structure(/20)</t>
  </si>
  <si>
    <t>Total (/30)</t>
  </si>
  <si>
    <t>Percentage %</t>
  </si>
  <si>
    <t>Remarks</t>
  </si>
  <si>
    <t>Muhammad Hadi Tariq</t>
  </si>
  <si>
    <t>Y5</t>
  </si>
  <si>
    <t>Musaab Abu bakr mirza</t>
  </si>
  <si>
    <t>Y6</t>
  </si>
  <si>
    <t>Saeed Essoufi</t>
  </si>
  <si>
    <t>Nael tavares</t>
  </si>
  <si>
    <t>Y7</t>
  </si>
  <si>
    <t>Talha Hisham Tariq</t>
  </si>
  <si>
    <t>Y10</t>
  </si>
  <si>
    <t>Ubayd Tariq</t>
  </si>
  <si>
    <t>Y9</t>
  </si>
  <si>
    <t>djafar el youssfi</t>
  </si>
  <si>
    <t>Aahil khan</t>
  </si>
  <si>
    <t>Y8</t>
  </si>
  <si>
    <t>Yaqeen Howard</t>
  </si>
  <si>
    <t>Mohamed ahmed muse</t>
  </si>
  <si>
    <t>Jamal Mohammad</t>
  </si>
  <si>
    <t>Zain Karim</t>
  </si>
  <si>
    <t>muhand awad</t>
  </si>
  <si>
    <t>Ayaan Ali manan</t>
  </si>
  <si>
    <t>jawad safiha</t>
  </si>
  <si>
    <t>mikail bozdad</t>
  </si>
  <si>
    <t>Sami haddad</t>
  </si>
  <si>
    <t>Abdullah zubair Azarb</t>
  </si>
  <si>
    <t>Idrees Sabri</t>
  </si>
  <si>
    <t>Ahmad merage ehsan</t>
  </si>
  <si>
    <t>Aryan Shah</t>
  </si>
  <si>
    <t>Ishaaq</t>
  </si>
  <si>
    <t>Hakim salah</t>
  </si>
  <si>
    <t>Pri-Beg (Mr. Ammar)</t>
  </si>
  <si>
    <t>Speaking (/5)</t>
  </si>
  <si>
    <t>Listening + Writing (/10)</t>
  </si>
  <si>
    <t>Reading + SPaG (/10)</t>
  </si>
  <si>
    <t>Ayub Ali islam</t>
  </si>
  <si>
    <t>Salaf Heamin</t>
  </si>
  <si>
    <t>yunus stasa</t>
  </si>
  <si>
    <t>Fawzan Howard</t>
  </si>
  <si>
    <t>Yusuf Khan</t>
  </si>
  <si>
    <t>wael haouadag</t>
  </si>
  <si>
    <t>Muhammad Afzal Haq Khan</t>
  </si>
  <si>
    <t>Abdul Rahman Saddiqui</t>
  </si>
  <si>
    <t>Pri-Int (Mr. Mahfouz)</t>
  </si>
  <si>
    <t>Yaqub Rahman</t>
  </si>
  <si>
    <t>Saifan Ahmed</t>
  </si>
  <si>
    <t>ADIL MUHAMMAD</t>
  </si>
  <si>
    <t xml:space="preserve">Muhammd Hashim </t>
  </si>
  <si>
    <t>Ahmed yousof</t>
  </si>
  <si>
    <t>Abdulqadir</t>
  </si>
  <si>
    <t>Hamza Ali</t>
  </si>
  <si>
    <t>Yaqoob Shaikh</t>
  </si>
  <si>
    <t>Hamdan Mostafa</t>
  </si>
  <si>
    <t>Milad Ehsan</t>
  </si>
  <si>
    <t>Absent</t>
  </si>
  <si>
    <t>Pri-Adv (Mr. Yahya Lediju)</t>
  </si>
  <si>
    <t>Muhammad Rehan Kazi</t>
  </si>
  <si>
    <t>Ibrahim Abdullah Ahmed</t>
  </si>
  <si>
    <t>Amir Hamzane</t>
  </si>
  <si>
    <t>Abdullah Stevenson</t>
  </si>
  <si>
    <t>Abdullah Salman</t>
  </si>
  <si>
    <t>Umar Khattab</t>
  </si>
  <si>
    <t>Owais Omair</t>
  </si>
  <si>
    <t>Ibrahim Muthanna</t>
  </si>
  <si>
    <t>Ibrahim Ahmed</t>
  </si>
  <si>
    <t>Sec-Beg-B1 (Mr. Arafat)</t>
  </si>
  <si>
    <t>Reading (Fluency) (/10)</t>
  </si>
  <si>
    <t>Speaking (/10)</t>
  </si>
  <si>
    <t>Total (/40)</t>
  </si>
  <si>
    <t>Khalid limalia</t>
  </si>
  <si>
    <t>Muhammad Rayyan Musa</t>
  </si>
  <si>
    <t>9.50</t>
  </si>
  <si>
    <t>Yusuf Rehman</t>
  </si>
  <si>
    <t>3.50</t>
  </si>
  <si>
    <t>Zubayr ibrahim bham</t>
  </si>
  <si>
    <t>8.75</t>
  </si>
  <si>
    <t>Muhammad Ahmed Qazamel</t>
  </si>
  <si>
    <t>Muhammad Yusuf Naeem</t>
  </si>
  <si>
    <t>Abdul Baqi</t>
  </si>
  <si>
    <t>Abdurrahman omar adam</t>
  </si>
  <si>
    <t>Ayaan Khan</t>
  </si>
  <si>
    <t>Ayub Rahman</t>
  </si>
  <si>
    <t>Mohammed Hassaan Ahmed</t>
  </si>
  <si>
    <t>Jabin Abdus Shahid</t>
  </si>
  <si>
    <t>6.50</t>
  </si>
  <si>
    <t>Jamal Laghdasse</t>
  </si>
  <si>
    <t>Mohammed Jalal Deen Rahman</t>
  </si>
  <si>
    <t>3.33</t>
  </si>
  <si>
    <t>Muhammad Amine Sinet</t>
  </si>
  <si>
    <t>Umer Irfan</t>
  </si>
  <si>
    <t>Uthman Ibrahim</t>
  </si>
  <si>
    <t>Yaqoob Sheikh</t>
  </si>
  <si>
    <t>Zayn Ayaz Khan</t>
  </si>
  <si>
    <t>abud tareq</t>
  </si>
  <si>
    <t>5.50</t>
  </si>
  <si>
    <t>Dawwod</t>
  </si>
  <si>
    <t>Mohamed Omer Adam</t>
  </si>
  <si>
    <t>Mohamed Haron</t>
  </si>
  <si>
    <t>Talha Tareq</t>
  </si>
  <si>
    <t>2.67</t>
  </si>
  <si>
    <t>Hanif</t>
  </si>
  <si>
    <t>Sec-Beg-B2 (Mr. Ahmed Khalid)</t>
  </si>
  <si>
    <t>Ahmed Humayun</t>
  </si>
  <si>
    <t>Abdulrahman Omar Adam</t>
  </si>
  <si>
    <t>Mohammed omar adam</t>
  </si>
  <si>
    <t>Hamza Remita</t>
  </si>
  <si>
    <t>Muhammad-Ukasha Ali</t>
  </si>
  <si>
    <t>Anas Remita</t>
  </si>
  <si>
    <t>Amir A Williams</t>
  </si>
  <si>
    <t>Muhammad yousufzai</t>
  </si>
  <si>
    <t>Qasim Mohamed Abdullah</t>
  </si>
  <si>
    <t>Zayan miah</t>
  </si>
  <si>
    <t>Asher Ehtisham</t>
  </si>
  <si>
    <t>Idrees Warzawal</t>
  </si>
  <si>
    <t>Muhammad Bilal Hashmat Asmat</t>
  </si>
  <si>
    <t>Zarrar shah</t>
  </si>
  <si>
    <t>Harris shah</t>
  </si>
  <si>
    <t>Chahine boyar</t>
  </si>
  <si>
    <t>Lu’ay Warzawal</t>
  </si>
  <si>
    <t>Muhammad Saeed</t>
  </si>
  <si>
    <t>Abdullah Al-Ahdal</t>
  </si>
  <si>
    <t>Sami Hadad</t>
  </si>
  <si>
    <t>Muhammad Musa</t>
  </si>
  <si>
    <t>Sec-Int (Mr. Hassan)</t>
  </si>
  <si>
    <t>Ishaq Brown</t>
  </si>
  <si>
    <t>Mouhamed imran</t>
  </si>
  <si>
    <t>Nuh Wadiwala</t>
  </si>
  <si>
    <t xml:space="preserve">Absent </t>
  </si>
  <si>
    <t>Yusuf Hussain</t>
  </si>
  <si>
    <t>Tariq khan</t>
  </si>
  <si>
    <t>Sulayman Lester</t>
  </si>
  <si>
    <t>Iesa</t>
  </si>
  <si>
    <t>Sec-Adv (Mr. Yahya Mohsen)</t>
  </si>
  <si>
    <t>Ammar Muhammad Abubakr</t>
  </si>
  <si>
    <t>Rayhan Ibrahim</t>
  </si>
  <si>
    <t>Idriss essabri</t>
  </si>
  <si>
    <t>Marwan Omair</t>
  </si>
  <si>
    <t>Hamzah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</si>
</sst>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,##0.0"/>
  </numFmts>
  <fonts count="9">
    <font>
      <sz val="11.0"/>
      <color rgb="FF000000"/>
      <name val="Arial"/>
      <scheme val="minor"/>
    </font>
    <font>
      <b/>
      <sz val="20.0"/>
      <color rgb="FFFFFFFF"/>
      <name val="Arial"/>
      <scheme val="minor"/>
    </font>
    <font>
      <b/>
      <sz val="18.0"/>
      <color rgb="FFFFFFFF"/>
      <name val="Arial"/>
      <scheme val="minor"/>
    </font>
    <font/>
    <font>
      <sz val="11.0"/>
      <color theme="1"/>
      <name val="Calibri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B3C5D"/>
        <bgColor rgb="FF0B3C5D"/>
      </patternFill>
    </fill>
    <fill>
      <patternFill patternType="solid">
        <fgColor rgb="FFE8F1FF"/>
        <bgColor rgb="FFE8F1FF"/>
      </patternFill>
    </fill>
    <fill>
      <patternFill patternType="solid">
        <fgColor rgb="FFD9EAD3"/>
        <bgColor rgb="FFD9EAD3"/>
      </patternFill>
    </fill>
    <fill>
      <patternFill patternType="solid">
        <fgColor rgb="FFF4B41A"/>
        <bgColor rgb="FFF4B41A"/>
      </patternFill>
    </fill>
    <fill>
      <patternFill patternType="solid">
        <fgColor rgb="FFE3F2FD"/>
        <bgColor rgb="FFE3F2FD"/>
      </patternFill>
    </fill>
    <fill>
      <patternFill patternType="solid">
        <fgColor rgb="FFFAFAFA"/>
        <bgColor rgb="FFFAFAFA"/>
      </patternFill>
    </fill>
  </fills>
  <borders count="14">
    <border/>
    <border>
      <left/>
      <right style="thin">
        <color rgb="FF999999"/>
      </right>
      <top/>
      <bottom/>
    </border>
    <border>
      <left/>
      <top/>
      <bottom/>
    </border>
    <border>
      <top/>
      <bottom/>
    </border>
    <border>
      <right style="thin">
        <color rgb="FF999999"/>
      </right>
      <top/>
      <bottom/>
    </border>
    <border>
      <left/>
      <right/>
      <top/>
      <bottom/>
    </border>
    <border>
      <bottom style="thin">
        <color rgb="FF999999"/>
      </bottom>
    </border>
    <border>
      <left/>
      <top/>
      <bottom style="thin">
        <color rgb="FF999999"/>
      </bottom>
    </border>
    <border>
      <top/>
      <bottom style="thin">
        <color rgb="FF999999"/>
      </bottom>
    </border>
    <border>
      <right style="thin">
        <color rgb="FF999999"/>
      </right>
      <top/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/>
      <top/>
      <bottom style="thin">
        <color rgb="FF999999"/>
      </bottom>
    </border>
    <border>
      <right style="thin">
        <color rgb="FF999999"/>
      </right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2" fontId="4" numFmtId="0" xfId="0" applyBorder="1" applyFont="1"/>
    <xf borderId="6" fillId="0" fontId="4" numFmtId="0" xfId="0" applyBorder="1" applyFont="1"/>
    <xf borderId="7" fillId="4" fontId="5" numFmtId="0" xfId="0" applyAlignment="1" applyBorder="1" applyFill="1" applyFont="1">
      <alignment horizontal="center" shrinkToFit="0" vertical="center" wrapText="1"/>
    </xf>
    <xf borderId="8" fillId="0" fontId="3" numFmtId="0" xfId="0" applyBorder="1" applyFont="1"/>
    <xf borderId="9" fillId="0" fontId="3" numFmtId="0" xfId="0" applyBorder="1" applyFont="1"/>
    <xf borderId="10" fillId="0" fontId="4" numFmtId="0" xfId="0" applyBorder="1" applyFont="1"/>
    <xf borderId="5" fillId="5" fontId="5" numFmtId="0" xfId="0" applyAlignment="1" applyBorder="1" applyFill="1" applyFont="1">
      <alignment horizontal="center" shrinkToFit="0" vertical="center" wrapText="1"/>
    </xf>
    <xf borderId="11" fillId="6" fontId="6" numFmtId="0" xfId="0" applyAlignment="1" applyBorder="1" applyFill="1" applyFont="1">
      <alignment horizontal="center" shrinkToFit="0" vertical="center" wrapText="1"/>
    </xf>
    <xf borderId="11" fillId="6" fontId="6" numFmtId="0" xfId="0" applyAlignment="1" applyBorder="1" applyFont="1">
      <alignment horizontal="center" readingOrder="0" shrinkToFit="0" vertical="center" wrapText="1"/>
    </xf>
    <xf borderId="11" fillId="7" fontId="4" numFmtId="0" xfId="0" applyAlignment="1" applyBorder="1" applyFill="1" applyFont="1">
      <alignment horizontal="left" shrinkToFit="0" vertical="center" wrapText="1"/>
    </xf>
    <xf borderId="11" fillId="2" fontId="4" numFmtId="0" xfId="0" applyAlignment="1" applyBorder="1" applyFont="1">
      <alignment horizontal="center" shrinkToFit="0" vertical="center" wrapText="1"/>
    </xf>
    <xf borderId="11" fillId="2" fontId="4" numFmtId="0" xfId="0" applyAlignment="1" applyBorder="1" applyFont="1">
      <alignment horizontal="center" readingOrder="0" shrinkToFit="0" vertical="center" wrapText="1"/>
    </xf>
    <xf borderId="11" fillId="2" fontId="4" numFmtId="2" xfId="0" applyAlignment="1" applyBorder="1" applyFont="1" applyNumberFormat="1">
      <alignment horizontal="center" shrinkToFit="0" vertical="center" wrapText="1"/>
    </xf>
    <xf borderId="11" fillId="2" fontId="4" numFmtId="10" xfId="0" applyAlignment="1" applyBorder="1" applyFont="1" applyNumberFormat="1">
      <alignment horizontal="center" shrinkToFit="0" vertical="center" wrapText="1"/>
    </xf>
    <xf borderId="11" fillId="8" fontId="4" numFmtId="0" xfId="0" applyAlignment="1" applyBorder="1" applyFill="1" applyFont="1">
      <alignment horizontal="center" shrinkToFit="0" vertical="center" wrapText="1"/>
    </xf>
    <xf borderId="11" fillId="8" fontId="4" numFmtId="0" xfId="0" applyAlignment="1" applyBorder="1" applyFont="1">
      <alignment horizontal="center" readingOrder="0" shrinkToFit="0" vertical="center" wrapText="1"/>
    </xf>
    <xf borderId="12" fillId="2" fontId="4" numFmtId="0" xfId="0" applyBorder="1" applyFont="1"/>
    <xf borderId="5" fillId="8" fontId="4" numFmtId="0" xfId="0" applyBorder="1" applyFont="1"/>
    <xf borderId="11" fillId="7" fontId="4" numFmtId="0" xfId="0" applyAlignment="1" applyBorder="1" applyFont="1">
      <alignment horizontal="left" readingOrder="0" shrinkToFit="0" vertical="center" wrapText="1"/>
    </xf>
    <xf borderId="11" fillId="2" fontId="4" numFmtId="4" xfId="0" applyAlignment="1" applyBorder="1" applyFont="1" applyNumberFormat="1">
      <alignment horizontal="center" readingOrder="0" shrinkToFit="0" vertical="center" wrapText="1"/>
    </xf>
    <xf borderId="0" fillId="0" fontId="7" numFmtId="4" xfId="0" applyAlignment="1" applyFont="1" applyNumberFormat="1">
      <alignment horizontal="center" readingOrder="0" shrinkToFit="0" vertical="bottom" wrapText="0"/>
    </xf>
    <xf borderId="11" fillId="8" fontId="4" numFmtId="4" xfId="0" applyAlignment="1" applyBorder="1" applyFont="1" applyNumberFormat="1">
      <alignment horizontal="center" readingOrder="0" shrinkToFit="0" vertical="center" wrapText="1"/>
    </xf>
    <xf borderId="11" fillId="8" fontId="4" numFmtId="2" xfId="0" applyAlignment="1" applyBorder="1" applyFont="1" applyNumberFormat="1">
      <alignment horizontal="center" shrinkToFit="0" vertical="center" wrapText="1"/>
    </xf>
    <xf borderId="11" fillId="8" fontId="4" numFmtId="4" xfId="0" applyAlignment="1" applyBorder="1" applyFont="1" applyNumberFormat="1">
      <alignment horizontal="center" shrinkToFit="0" vertical="center" wrapText="1"/>
    </xf>
    <xf borderId="11" fillId="2" fontId="4" numFmtId="4" xfId="0" applyAlignment="1" applyBorder="1" applyFont="1" applyNumberFormat="1">
      <alignment horizontal="center" shrinkToFit="0" vertical="center" wrapText="1"/>
    </xf>
    <xf borderId="11" fillId="8" fontId="4" numFmtId="164" xfId="0" applyAlignment="1" applyBorder="1" applyFont="1" applyNumberFormat="1">
      <alignment horizontal="center" shrinkToFit="0" vertical="center" wrapText="1"/>
    </xf>
    <xf borderId="11" fillId="2" fontId="4" numFmtId="164" xfId="0" applyAlignment="1" applyBorder="1" applyFont="1" applyNumberFormat="1">
      <alignment horizontal="center" shrinkToFit="0" vertical="center" wrapText="1"/>
    </xf>
    <xf borderId="13" fillId="0" fontId="4" numFmtId="0" xfId="0" applyBorder="1" applyFont="1"/>
    <xf borderId="0" fillId="0" fontId="8" numFmtId="0" xfId="0" applyAlignment="1" applyFont="1">
      <alignment horizontal="center"/>
    </xf>
    <xf borderId="0" fillId="0" fontId="8" numFmtId="9" xfId="0" applyAlignment="1" applyFont="1" applyNumberFormat="1">
      <alignment horizontal="center"/>
    </xf>
    <xf borderId="0" fillId="0" fontId="7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center" readingOrder="0" shrinkToFit="0" wrapText="0"/>
    </xf>
    <xf borderId="0" fillId="0" fontId="7" numFmtId="0" xfId="0" applyAlignment="1" applyFont="1">
      <alignment horizontal="center" readingOrder="0" shrinkToFit="0" vertical="bottom" wrapText="0"/>
    </xf>
    <xf borderId="2" fillId="3" fontId="1" numFmtId="0" xfId="0" applyAlignment="1" applyBorder="1" applyFont="1">
      <alignment horizontal="center" shrinkToFit="0" vertical="center" wrapText="1"/>
    </xf>
    <xf borderId="11" fillId="6" fontId="6" numFmtId="3" xfId="0" applyAlignment="1" applyBorder="1" applyFont="1" applyNumberFormat="1">
      <alignment horizontal="center" shrinkToFit="0" vertical="center" wrapText="1"/>
    </xf>
    <xf borderId="11" fillId="7" fontId="4" numFmtId="3" xfId="0" applyAlignment="1" applyBorder="1" applyFont="1" applyNumberFormat="1">
      <alignment horizontal="left" shrinkToFit="0" vertical="center" wrapText="1"/>
    </xf>
    <xf borderId="11" fillId="2" fontId="4" numFmtId="3" xfId="0" applyAlignment="1" applyBorder="1" applyFont="1" applyNumberFormat="1">
      <alignment horizontal="center" shrinkToFit="0" vertical="center" wrapText="1"/>
    </xf>
    <xf borderId="11" fillId="2" fontId="4" numFmtId="3" xfId="0" applyAlignment="1" applyBorder="1" applyFont="1" applyNumberFormat="1">
      <alignment horizontal="center" readingOrder="0" shrinkToFit="0" vertical="center" wrapText="1"/>
    </xf>
    <xf borderId="11" fillId="2" fontId="4" numFmtId="165" xfId="0" applyAlignment="1" applyBorder="1" applyFont="1" applyNumberFormat="1">
      <alignment horizontal="center" shrinkToFit="0" vertical="center" wrapText="1"/>
    </xf>
    <xf borderId="11" fillId="8" fontId="4" numFmtId="3" xfId="0" applyAlignment="1" applyBorder="1" applyFont="1" applyNumberFormat="1">
      <alignment horizontal="center" shrinkToFit="0" vertical="center" wrapText="1"/>
    </xf>
    <xf borderId="11" fillId="8" fontId="4" numFmtId="3" xfId="0" applyAlignment="1" applyBorder="1" applyFont="1" applyNumberFormat="1">
      <alignment horizontal="center" readingOrder="0" shrinkToFit="0" vertical="center" wrapText="1"/>
    </xf>
    <xf borderId="11" fillId="8" fontId="4" numFmtId="165" xfId="0" applyAlignment="1" applyBorder="1" applyFont="1" applyNumberFormat="1">
      <alignment horizontal="center" shrinkToFit="0" vertical="center" wrapText="1"/>
    </xf>
    <xf borderId="11" fillId="8" fontId="4" numFmtId="165" xfId="0" applyAlignment="1" applyBorder="1" applyFont="1" applyNumberFormat="1">
      <alignment horizontal="center" readingOrder="0" shrinkToFit="0" vertical="center" wrapText="1"/>
    </xf>
    <xf borderId="0" fillId="0" fontId="8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457200</xdr:colOff>
      <xdr:row>0</xdr:row>
      <xdr:rowOff>0</xdr:rowOff>
    </xdr:from>
    <xdr:ext cx="1228725" cy="1228725"/>
    <xdr:pic>
      <xdr:nvPicPr>
        <xdr:cNvPr id="0" name="image1.pn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238125</xdr:colOff>
      <xdr:row>0</xdr:row>
      <xdr:rowOff>47625</xdr:rowOff>
    </xdr:from>
    <xdr:ext cx="1190625" cy="1190625"/>
    <xdr:pic>
      <xdr:nvPicPr>
        <xdr:cNvPr id="0" name="image1.pn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628650</xdr:colOff>
      <xdr:row>0</xdr:row>
      <xdr:rowOff>95250</xdr:rowOff>
    </xdr:from>
    <xdr:ext cx="1524000" cy="1524000"/>
    <xdr:pic>
      <xdr:nvPicPr>
        <xdr:cNvPr id="0" name="image1.pn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190500</xdr:colOff>
      <xdr:row>0</xdr:row>
      <xdr:rowOff>0</xdr:rowOff>
    </xdr:from>
    <xdr:ext cx="1085850" cy="1085850"/>
    <xdr:pic>
      <xdr:nvPicPr>
        <xdr:cNvPr id="0" name="image1.pn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1524000" cy="1524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762000</xdr:colOff>
      <xdr:row>0</xdr:row>
      <xdr:rowOff>0</xdr:rowOff>
    </xdr:from>
    <xdr:ext cx="962025" cy="962025"/>
    <xdr:pic>
      <xdr:nvPicPr>
        <xdr:cNvPr id="0" name="image1.pn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0"/>
  <cols>
    <col customWidth="1" min="1" max="3" width="4.0"/>
    <col customWidth="1" min="4" max="4" width="40.0"/>
    <col customWidth="1" min="5" max="5" width="10.0"/>
    <col customWidth="1" min="6" max="6" width="18.0"/>
    <col customWidth="1" min="7" max="7" width="12.0"/>
    <col customWidth="1" min="8" max="8" width="22.0"/>
    <col customWidth="1" min="9" max="9" width="10.0"/>
    <col customWidth="1" min="10" max="10" width="14.0"/>
    <col customWidth="1" min="11" max="11" width="22.0"/>
    <col customWidth="1" min="12" max="25" width="14.38"/>
  </cols>
  <sheetData>
    <row r="1" ht="33.75" customHeight="1">
      <c r="A1" s="1"/>
      <c r="E1" s="2" t="s">
        <v>0</v>
      </c>
      <c r="F1" s="3"/>
      <c r="G1" s="3"/>
      <c r="H1" s="3"/>
      <c r="I1" s="3"/>
      <c r="J1" s="3"/>
      <c r="K1" s="4"/>
    </row>
    <row r="2" ht="33.75" customHeight="1">
      <c r="A2" s="5"/>
      <c r="B2" s="6"/>
      <c r="C2" s="6"/>
      <c r="D2" s="6"/>
      <c r="E2" s="7" t="s">
        <v>1</v>
      </c>
      <c r="F2" s="8"/>
      <c r="G2" s="8"/>
      <c r="H2" s="8"/>
      <c r="I2" s="8"/>
      <c r="J2" s="8"/>
      <c r="K2" s="9"/>
    </row>
    <row r="3" ht="33.75" customHeight="1">
      <c r="A3" s="5"/>
      <c r="B3" s="6"/>
      <c r="C3" s="10"/>
      <c r="D3" s="11"/>
    </row>
    <row r="4" ht="33.75" customHeight="1">
      <c r="A4" s="5"/>
      <c r="D4" s="12" t="s">
        <v>2</v>
      </c>
      <c r="E4" s="12" t="s">
        <v>3</v>
      </c>
      <c r="F4" s="12" t="s">
        <v>4</v>
      </c>
      <c r="G4" s="13" t="s">
        <v>5</v>
      </c>
      <c r="H4" s="13" t="s">
        <v>6</v>
      </c>
      <c r="I4" s="12" t="s">
        <v>7</v>
      </c>
      <c r="J4" s="12" t="s">
        <v>8</v>
      </c>
      <c r="K4" s="12" t="s">
        <v>9</v>
      </c>
    </row>
    <row r="5" ht="33.75" customHeight="1">
      <c r="A5" s="5"/>
      <c r="D5" s="14" t="s">
        <v>10</v>
      </c>
      <c r="E5" s="15" t="s">
        <v>11</v>
      </c>
      <c r="F5" s="16">
        <v>5.0</v>
      </c>
      <c r="G5" s="16">
        <v>4.0</v>
      </c>
      <c r="H5" s="16">
        <v>18.0</v>
      </c>
      <c r="I5" s="17">
        <f t="shared" ref="I5:I27" si="1">SUM(F5:H5)</f>
        <v>27</v>
      </c>
      <c r="J5" s="18">
        <f t="shared" ref="J5:J27" si="2">I5/30</f>
        <v>0.9</v>
      </c>
      <c r="K5" s="15"/>
    </row>
    <row r="6" ht="37.5" customHeight="1">
      <c r="A6" s="5"/>
      <c r="D6" s="14" t="s">
        <v>12</v>
      </c>
      <c r="E6" s="19" t="s">
        <v>13</v>
      </c>
      <c r="F6" s="20">
        <v>0.0</v>
      </c>
      <c r="G6" s="20">
        <v>0.0</v>
      </c>
      <c r="H6" s="20">
        <v>0.0</v>
      </c>
      <c r="I6" s="17">
        <f t="shared" si="1"/>
        <v>0</v>
      </c>
      <c r="J6" s="18">
        <f t="shared" si="2"/>
        <v>0</v>
      </c>
      <c r="K6" s="19"/>
    </row>
    <row r="7" ht="31.5" customHeight="1">
      <c r="A7" s="21"/>
      <c r="B7" s="22"/>
      <c r="C7" s="22"/>
      <c r="D7" s="14" t="s">
        <v>14</v>
      </c>
      <c r="E7" s="15" t="s">
        <v>13</v>
      </c>
      <c r="F7" s="16">
        <v>5.0</v>
      </c>
      <c r="G7" s="16">
        <v>1.0</v>
      </c>
      <c r="H7" s="16">
        <v>14.0</v>
      </c>
      <c r="I7" s="17">
        <f t="shared" si="1"/>
        <v>20</v>
      </c>
      <c r="J7" s="18">
        <f t="shared" si="2"/>
        <v>0.6666666667</v>
      </c>
      <c r="K7" s="15"/>
    </row>
    <row r="8">
      <c r="A8" s="21"/>
      <c r="D8" s="14" t="s">
        <v>15</v>
      </c>
      <c r="E8" s="19" t="s">
        <v>16</v>
      </c>
      <c r="F8" s="20">
        <v>5.0</v>
      </c>
      <c r="G8" s="20">
        <v>5.0</v>
      </c>
      <c r="H8" s="20">
        <v>20.0</v>
      </c>
      <c r="I8" s="17">
        <f t="shared" si="1"/>
        <v>30</v>
      </c>
      <c r="J8" s="18">
        <f t="shared" si="2"/>
        <v>1</v>
      </c>
      <c r="K8" s="19"/>
    </row>
    <row r="9">
      <c r="A9" s="5"/>
      <c r="B9" s="22"/>
      <c r="C9" s="22"/>
      <c r="D9" s="14" t="s">
        <v>17</v>
      </c>
      <c r="E9" s="15" t="s">
        <v>18</v>
      </c>
      <c r="F9" s="16">
        <v>0.0</v>
      </c>
      <c r="G9" s="16">
        <v>0.0</v>
      </c>
      <c r="H9" s="16">
        <v>0.0</v>
      </c>
      <c r="I9" s="17">
        <f t="shared" si="1"/>
        <v>0</v>
      </c>
      <c r="J9" s="18">
        <f t="shared" si="2"/>
        <v>0</v>
      </c>
      <c r="K9" s="15"/>
    </row>
    <row r="10">
      <c r="A10" s="5"/>
      <c r="D10" s="14" t="s">
        <v>19</v>
      </c>
      <c r="E10" s="19" t="s">
        <v>20</v>
      </c>
      <c r="F10" s="20">
        <v>0.0</v>
      </c>
      <c r="G10" s="20">
        <v>0.0</v>
      </c>
      <c r="H10" s="20">
        <v>0.0</v>
      </c>
      <c r="I10" s="17">
        <f t="shared" si="1"/>
        <v>0</v>
      </c>
      <c r="J10" s="18">
        <f t="shared" si="2"/>
        <v>0</v>
      </c>
      <c r="K10" s="19"/>
    </row>
    <row r="11">
      <c r="B11" s="22"/>
      <c r="C11" s="22"/>
      <c r="D11" s="14" t="s">
        <v>21</v>
      </c>
      <c r="E11" s="15" t="s">
        <v>16</v>
      </c>
      <c r="F11" s="16">
        <v>5.0</v>
      </c>
      <c r="G11" s="16">
        <v>4.0</v>
      </c>
      <c r="H11" s="16">
        <v>20.0</v>
      </c>
      <c r="I11" s="17">
        <f t="shared" si="1"/>
        <v>29</v>
      </c>
      <c r="J11" s="18">
        <f t="shared" si="2"/>
        <v>0.9666666667</v>
      </c>
      <c r="K11" s="15"/>
    </row>
    <row r="12">
      <c r="A12" s="22"/>
      <c r="D12" s="14" t="s">
        <v>22</v>
      </c>
      <c r="E12" s="19" t="s">
        <v>23</v>
      </c>
      <c r="F12" s="20">
        <v>0.0</v>
      </c>
      <c r="G12" s="20">
        <v>0.0</v>
      </c>
      <c r="H12" s="20">
        <v>0.0</v>
      </c>
      <c r="I12" s="17">
        <f t="shared" si="1"/>
        <v>0</v>
      </c>
      <c r="J12" s="18">
        <f t="shared" si="2"/>
        <v>0</v>
      </c>
      <c r="K12" s="19"/>
    </row>
    <row r="13">
      <c r="A13" s="22"/>
      <c r="D13" s="14" t="s">
        <v>24</v>
      </c>
      <c r="E13" s="19" t="s">
        <v>23</v>
      </c>
      <c r="F13" s="20">
        <v>5.0</v>
      </c>
      <c r="G13" s="20">
        <v>4.0</v>
      </c>
      <c r="H13" s="20">
        <v>16.0</v>
      </c>
      <c r="I13" s="17">
        <f t="shared" si="1"/>
        <v>25</v>
      </c>
      <c r="J13" s="18">
        <f t="shared" si="2"/>
        <v>0.8333333333</v>
      </c>
      <c r="K13" s="19"/>
    </row>
    <row r="14">
      <c r="B14" s="22"/>
      <c r="C14" s="22"/>
      <c r="D14" s="14" t="s">
        <v>25</v>
      </c>
      <c r="E14" s="15" t="s">
        <v>23</v>
      </c>
      <c r="F14" s="16">
        <v>0.0</v>
      </c>
      <c r="G14" s="16">
        <v>0.0</v>
      </c>
      <c r="H14" s="16">
        <v>0.0</v>
      </c>
      <c r="I14" s="17">
        <f t="shared" si="1"/>
        <v>0</v>
      </c>
      <c r="J14" s="18">
        <f t="shared" si="2"/>
        <v>0</v>
      </c>
      <c r="K14" s="15"/>
    </row>
    <row r="15">
      <c r="A15" s="22"/>
      <c r="D15" s="14" t="s">
        <v>26</v>
      </c>
      <c r="E15" s="19" t="s">
        <v>20</v>
      </c>
      <c r="F15" s="20">
        <v>5.0</v>
      </c>
      <c r="G15" s="20">
        <v>3.0</v>
      </c>
      <c r="H15" s="20">
        <v>19.0</v>
      </c>
      <c r="I15" s="17">
        <f t="shared" si="1"/>
        <v>27</v>
      </c>
      <c r="J15" s="18">
        <f t="shared" si="2"/>
        <v>0.9</v>
      </c>
      <c r="K15" s="19"/>
    </row>
    <row r="16">
      <c r="B16" s="22"/>
      <c r="C16" s="22"/>
      <c r="D16" s="14" t="s">
        <v>27</v>
      </c>
      <c r="E16" s="15" t="s">
        <v>16</v>
      </c>
      <c r="F16" s="16">
        <v>0.0</v>
      </c>
      <c r="G16" s="16">
        <v>0.0</v>
      </c>
      <c r="H16" s="16">
        <v>0.0</v>
      </c>
      <c r="I16" s="17">
        <f t="shared" si="1"/>
        <v>0</v>
      </c>
      <c r="J16" s="18">
        <f t="shared" si="2"/>
        <v>0</v>
      </c>
      <c r="K16" s="15"/>
    </row>
    <row r="17">
      <c r="A17" s="22"/>
      <c r="D17" s="14" t="s">
        <v>28</v>
      </c>
      <c r="E17" s="19" t="s">
        <v>20</v>
      </c>
      <c r="F17" s="20">
        <v>0.0</v>
      </c>
      <c r="G17" s="20">
        <v>0.0</v>
      </c>
      <c r="H17" s="20">
        <v>0.0</v>
      </c>
      <c r="I17" s="17">
        <f t="shared" si="1"/>
        <v>0</v>
      </c>
      <c r="J17" s="18">
        <f t="shared" si="2"/>
        <v>0</v>
      </c>
      <c r="K17" s="19"/>
    </row>
    <row r="18">
      <c r="B18" s="22"/>
      <c r="C18" s="22"/>
      <c r="D18" s="14" t="s">
        <v>29</v>
      </c>
      <c r="E18" s="15" t="s">
        <v>23</v>
      </c>
      <c r="F18" s="16">
        <v>0.0</v>
      </c>
      <c r="G18" s="16">
        <v>0.0</v>
      </c>
      <c r="H18" s="16">
        <v>0.0</v>
      </c>
      <c r="I18" s="17">
        <f t="shared" si="1"/>
        <v>0</v>
      </c>
      <c r="J18" s="18">
        <f t="shared" si="2"/>
        <v>0</v>
      </c>
      <c r="K18" s="15"/>
    </row>
    <row r="19">
      <c r="A19" s="22"/>
      <c r="D19" s="14" t="s">
        <v>30</v>
      </c>
      <c r="E19" s="19" t="s">
        <v>20</v>
      </c>
      <c r="F19" s="20">
        <v>0.0</v>
      </c>
      <c r="G19" s="20">
        <v>0.0</v>
      </c>
      <c r="H19" s="20">
        <v>0.0</v>
      </c>
      <c r="I19" s="17">
        <f t="shared" si="1"/>
        <v>0</v>
      </c>
      <c r="J19" s="18">
        <f t="shared" si="2"/>
        <v>0</v>
      </c>
      <c r="K19" s="19"/>
    </row>
    <row r="20" ht="15.75" customHeight="1">
      <c r="B20" s="22"/>
      <c r="C20" s="22"/>
      <c r="D20" s="14" t="s">
        <v>31</v>
      </c>
      <c r="E20" s="15" t="s">
        <v>23</v>
      </c>
      <c r="F20" s="16">
        <v>5.0</v>
      </c>
      <c r="G20" s="16">
        <v>3.0</v>
      </c>
      <c r="H20" s="16">
        <v>19.0</v>
      </c>
      <c r="I20" s="17">
        <f t="shared" si="1"/>
        <v>27</v>
      </c>
      <c r="J20" s="18">
        <f t="shared" si="2"/>
        <v>0.9</v>
      </c>
      <c r="K20" s="15"/>
    </row>
    <row r="21" ht="15.75" customHeight="1">
      <c r="A21" s="22"/>
      <c r="D21" s="14" t="s">
        <v>32</v>
      </c>
      <c r="E21" s="19" t="s">
        <v>23</v>
      </c>
      <c r="F21" s="20">
        <v>0.0</v>
      </c>
      <c r="G21" s="20">
        <v>0.0</v>
      </c>
      <c r="H21" s="20">
        <v>0.0</v>
      </c>
      <c r="I21" s="17">
        <f t="shared" si="1"/>
        <v>0</v>
      </c>
      <c r="J21" s="18">
        <f t="shared" si="2"/>
        <v>0</v>
      </c>
      <c r="K21" s="19"/>
    </row>
    <row r="22" ht="15.75" customHeight="1">
      <c r="B22" s="22"/>
      <c r="C22" s="22"/>
      <c r="D22" s="14" t="s">
        <v>33</v>
      </c>
      <c r="E22" s="15" t="s">
        <v>11</v>
      </c>
      <c r="F22" s="16">
        <v>0.0</v>
      </c>
      <c r="G22" s="16">
        <v>0.0</v>
      </c>
      <c r="H22" s="16">
        <v>0.0</v>
      </c>
      <c r="I22" s="17">
        <f t="shared" si="1"/>
        <v>0</v>
      </c>
      <c r="J22" s="18">
        <f t="shared" si="2"/>
        <v>0</v>
      </c>
      <c r="K22" s="15"/>
    </row>
    <row r="23" ht="15.75" customHeight="1">
      <c r="A23" s="22"/>
      <c r="D23" s="23" t="s">
        <v>34</v>
      </c>
      <c r="E23" s="20" t="s">
        <v>11</v>
      </c>
      <c r="F23" s="20">
        <v>5.0</v>
      </c>
      <c r="G23" s="20">
        <v>5.0</v>
      </c>
      <c r="H23" s="20">
        <v>19.0</v>
      </c>
      <c r="I23" s="17">
        <f t="shared" si="1"/>
        <v>29</v>
      </c>
      <c r="J23" s="18">
        <f t="shared" si="2"/>
        <v>0.9666666667</v>
      </c>
      <c r="K23" s="19"/>
    </row>
    <row r="24" ht="15.75" customHeight="1">
      <c r="B24" s="22"/>
      <c r="C24" s="22"/>
      <c r="D24" s="23" t="s">
        <v>35</v>
      </c>
      <c r="E24" s="16" t="s">
        <v>11</v>
      </c>
      <c r="F24" s="16">
        <v>4.0</v>
      </c>
      <c r="G24" s="16">
        <v>4.0</v>
      </c>
      <c r="H24" s="16">
        <v>17.0</v>
      </c>
      <c r="I24" s="17">
        <f t="shared" si="1"/>
        <v>25</v>
      </c>
      <c r="J24" s="18">
        <f t="shared" si="2"/>
        <v>0.8333333333</v>
      </c>
      <c r="K24" s="15"/>
    </row>
    <row r="25" ht="15.75" customHeight="1">
      <c r="A25" s="22"/>
      <c r="D25" s="23" t="s">
        <v>36</v>
      </c>
      <c r="E25" s="20" t="s">
        <v>11</v>
      </c>
      <c r="F25" s="20">
        <v>5.0</v>
      </c>
      <c r="G25" s="20">
        <v>5.0</v>
      </c>
      <c r="H25" s="20">
        <v>20.0</v>
      </c>
      <c r="I25" s="17">
        <f t="shared" si="1"/>
        <v>30</v>
      </c>
      <c r="J25" s="18">
        <f t="shared" si="2"/>
        <v>1</v>
      </c>
      <c r="K25" s="19"/>
    </row>
    <row r="26" ht="15.75" customHeight="1">
      <c r="B26" s="22"/>
      <c r="C26" s="22"/>
      <c r="D26" s="23" t="s">
        <v>37</v>
      </c>
      <c r="E26" s="16" t="s">
        <v>11</v>
      </c>
      <c r="F26" s="16">
        <v>5.0</v>
      </c>
      <c r="G26" s="16">
        <v>5.0</v>
      </c>
      <c r="H26" s="16">
        <v>19.0</v>
      </c>
      <c r="I26" s="17">
        <f t="shared" si="1"/>
        <v>29</v>
      </c>
      <c r="J26" s="18">
        <f t="shared" si="2"/>
        <v>0.9666666667</v>
      </c>
      <c r="K26" s="15"/>
    </row>
    <row r="27" ht="15.75" customHeight="1">
      <c r="A27" s="22"/>
      <c r="D27" s="23" t="s">
        <v>38</v>
      </c>
      <c r="E27" s="20" t="s">
        <v>11</v>
      </c>
      <c r="F27" s="20">
        <v>5.0</v>
      </c>
      <c r="G27" s="20">
        <v>2.0</v>
      </c>
      <c r="H27" s="20">
        <v>13.0</v>
      </c>
      <c r="I27" s="17">
        <f t="shared" si="1"/>
        <v>20</v>
      </c>
      <c r="J27" s="18">
        <f t="shared" si="2"/>
        <v>0.6666666667</v>
      </c>
      <c r="K27" s="19"/>
    </row>
    <row r="28" ht="15.75" customHeight="1">
      <c r="B28" s="22"/>
      <c r="C28" s="22"/>
    </row>
    <row r="29" ht="15.75" customHeight="1">
      <c r="A29" s="22"/>
    </row>
    <row r="30" ht="15.75" customHeight="1"/>
    <row r="31" ht="15.75" customHeight="1">
      <c r="A31" s="22"/>
    </row>
    <row r="32" ht="15.75" customHeight="1"/>
    <row r="33" ht="15.75" customHeight="1">
      <c r="A33" s="22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E1:K1"/>
    <mergeCell ref="E2:K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0"/>
  <cols>
    <col customWidth="1" min="1" max="3" width="4.0"/>
    <col customWidth="1" min="4" max="4" width="40.0"/>
    <col customWidth="1" min="5" max="5" width="10.0"/>
    <col customWidth="1" min="6" max="6" width="18.0"/>
    <col customWidth="1" min="7" max="7" width="12.0"/>
    <col customWidth="1" min="8" max="9" width="22.0"/>
    <col customWidth="1" min="10" max="10" width="10.0"/>
    <col customWidth="1" min="11" max="11" width="14.0"/>
    <col customWidth="1" min="12" max="12" width="22.0"/>
    <col customWidth="1" min="13" max="26" width="14.38"/>
  </cols>
  <sheetData>
    <row r="1" ht="33.75" customHeight="1">
      <c r="A1" s="1"/>
      <c r="E1" s="2" t="s">
        <v>0</v>
      </c>
      <c r="F1" s="3"/>
      <c r="G1" s="3"/>
      <c r="H1" s="3"/>
      <c r="I1" s="3"/>
      <c r="J1" s="3"/>
      <c r="K1" s="3"/>
      <c r="L1" s="4"/>
    </row>
    <row r="2" ht="33.75" customHeight="1">
      <c r="A2" s="5"/>
      <c r="B2" s="6"/>
      <c r="C2" s="6"/>
      <c r="D2" s="6"/>
      <c r="E2" s="7" t="s">
        <v>39</v>
      </c>
      <c r="F2" s="8"/>
      <c r="G2" s="8"/>
      <c r="H2" s="8"/>
      <c r="I2" s="8"/>
      <c r="J2" s="8"/>
      <c r="K2" s="8"/>
      <c r="L2" s="9"/>
    </row>
    <row r="3" ht="33.75" customHeight="1">
      <c r="A3" s="5"/>
      <c r="B3" s="6"/>
      <c r="C3" s="10"/>
      <c r="D3" s="11"/>
    </row>
    <row r="4" ht="33.75" customHeight="1">
      <c r="A4" s="5"/>
      <c r="D4" s="12" t="s">
        <v>2</v>
      </c>
      <c r="E4" s="12" t="s">
        <v>3</v>
      </c>
      <c r="F4" s="12" t="s">
        <v>4</v>
      </c>
      <c r="G4" s="12" t="s">
        <v>40</v>
      </c>
      <c r="H4" s="12" t="s">
        <v>41</v>
      </c>
      <c r="I4" s="12" t="s">
        <v>42</v>
      </c>
      <c r="J4" s="12" t="s">
        <v>7</v>
      </c>
      <c r="K4" s="12" t="s">
        <v>8</v>
      </c>
      <c r="L4" s="12" t="s">
        <v>9</v>
      </c>
    </row>
    <row r="5" ht="33.75" customHeight="1">
      <c r="A5" s="5"/>
      <c r="D5" s="23" t="s">
        <v>43</v>
      </c>
      <c r="E5" s="15" t="s">
        <v>11</v>
      </c>
      <c r="F5" s="24">
        <v>3.5</v>
      </c>
      <c r="G5" s="24">
        <v>2.5</v>
      </c>
      <c r="H5" s="25">
        <v>5.5</v>
      </c>
      <c r="I5" s="24">
        <v>2.5</v>
      </c>
      <c r="J5" s="17">
        <f t="shared" ref="J5:J19" si="1">SUM(F5:I5)</f>
        <v>14</v>
      </c>
      <c r="K5" s="18">
        <f t="shared" ref="K5:K19" si="2">J5/30</f>
        <v>0.4666666667</v>
      </c>
      <c r="L5" s="15"/>
    </row>
    <row r="6" ht="37.5" customHeight="1">
      <c r="A6" s="5"/>
      <c r="D6" s="23" t="s">
        <v>44</v>
      </c>
      <c r="E6" s="20" t="s">
        <v>13</v>
      </c>
      <c r="F6" s="26">
        <v>3.0</v>
      </c>
      <c r="G6" s="26">
        <v>3.0</v>
      </c>
      <c r="H6" s="25">
        <v>3.0</v>
      </c>
      <c r="I6" s="26">
        <v>6.5</v>
      </c>
      <c r="J6" s="27">
        <f t="shared" si="1"/>
        <v>15.5</v>
      </c>
      <c r="K6" s="18">
        <f t="shared" si="2"/>
        <v>0.5166666667</v>
      </c>
      <c r="L6" s="19"/>
    </row>
    <row r="7" ht="1.5" customHeight="1">
      <c r="A7" s="21"/>
      <c r="B7" s="22"/>
      <c r="C7" s="22"/>
      <c r="D7" s="23" t="s">
        <v>45</v>
      </c>
      <c r="E7" s="15" t="s">
        <v>11</v>
      </c>
      <c r="F7" s="24">
        <v>3.0</v>
      </c>
      <c r="G7" s="24">
        <v>3.5</v>
      </c>
      <c r="H7" s="25">
        <v>9.0</v>
      </c>
      <c r="I7" s="24">
        <v>9.5</v>
      </c>
      <c r="J7" s="17">
        <f t="shared" si="1"/>
        <v>25</v>
      </c>
      <c r="K7" s="18">
        <f t="shared" si="2"/>
        <v>0.8333333333</v>
      </c>
      <c r="L7" s="15"/>
    </row>
    <row r="8" ht="1.5" customHeight="1">
      <c r="A8" s="21"/>
      <c r="D8" s="23" t="s">
        <v>46</v>
      </c>
      <c r="E8" s="19" t="s">
        <v>13</v>
      </c>
      <c r="F8" s="26">
        <v>3.0</v>
      </c>
      <c r="G8" s="26">
        <v>3.0</v>
      </c>
      <c r="H8" s="25">
        <v>6.0</v>
      </c>
      <c r="I8" s="26">
        <v>5.5</v>
      </c>
      <c r="J8" s="27">
        <f t="shared" si="1"/>
        <v>17.5</v>
      </c>
      <c r="K8" s="18">
        <f t="shared" si="2"/>
        <v>0.5833333333</v>
      </c>
      <c r="L8" s="19"/>
    </row>
    <row r="9">
      <c r="A9" s="5"/>
      <c r="B9" s="22"/>
      <c r="C9" s="22"/>
      <c r="D9" s="23" t="s">
        <v>47</v>
      </c>
      <c r="E9" s="15" t="s">
        <v>13</v>
      </c>
      <c r="F9" s="24">
        <v>3.0</v>
      </c>
      <c r="G9" s="24">
        <v>4.0</v>
      </c>
      <c r="H9" s="25">
        <v>8.0</v>
      </c>
      <c r="I9" s="24">
        <v>6.75</v>
      </c>
      <c r="J9" s="17">
        <f t="shared" si="1"/>
        <v>21.75</v>
      </c>
      <c r="K9" s="18">
        <f t="shared" si="2"/>
        <v>0.725</v>
      </c>
      <c r="L9" s="15"/>
    </row>
    <row r="10">
      <c r="A10" s="5"/>
      <c r="D10" s="23" t="s">
        <v>48</v>
      </c>
      <c r="E10" s="19" t="s">
        <v>13</v>
      </c>
      <c r="F10" s="26">
        <v>3.0</v>
      </c>
      <c r="G10" s="26">
        <v>3.5</v>
      </c>
      <c r="H10" s="25">
        <v>7.5</v>
      </c>
      <c r="I10" s="26">
        <v>5.0</v>
      </c>
      <c r="J10" s="27">
        <f t="shared" si="1"/>
        <v>19</v>
      </c>
      <c r="K10" s="18">
        <f t="shared" si="2"/>
        <v>0.6333333333</v>
      </c>
      <c r="L10" s="19"/>
    </row>
    <row r="11">
      <c r="B11" s="22"/>
      <c r="C11" s="22"/>
      <c r="D11" s="23" t="s">
        <v>49</v>
      </c>
      <c r="E11" s="15" t="s">
        <v>13</v>
      </c>
      <c r="F11" s="24">
        <v>3.5</v>
      </c>
      <c r="G11" s="24">
        <v>2.5</v>
      </c>
      <c r="H11" s="25">
        <v>6.0</v>
      </c>
      <c r="I11" s="24">
        <v>4.75</v>
      </c>
      <c r="J11" s="17">
        <f t="shared" si="1"/>
        <v>16.75</v>
      </c>
      <c r="K11" s="18">
        <f t="shared" si="2"/>
        <v>0.5583333333</v>
      </c>
      <c r="L11" s="15"/>
    </row>
    <row r="12">
      <c r="A12" s="22"/>
      <c r="D12" s="23" t="s">
        <v>50</v>
      </c>
      <c r="E12" s="16" t="s">
        <v>13</v>
      </c>
      <c r="F12" s="26">
        <v>3.5</v>
      </c>
      <c r="G12" s="26">
        <v>4.0</v>
      </c>
      <c r="H12" s="28"/>
      <c r="I12" s="28"/>
      <c r="J12" s="27">
        <f t="shared" si="1"/>
        <v>7.5</v>
      </c>
      <c r="K12" s="18">
        <f t="shared" si="2"/>
        <v>0.25</v>
      </c>
      <c r="L12" s="19"/>
    </row>
    <row r="13">
      <c r="B13" s="22"/>
      <c r="C13" s="22"/>
      <c r="D13" s="14"/>
      <c r="E13" s="15"/>
      <c r="F13" s="29"/>
      <c r="G13" s="29"/>
      <c r="H13" s="29"/>
      <c r="I13" s="29"/>
      <c r="J13" s="17">
        <f t="shared" si="1"/>
        <v>0</v>
      </c>
      <c r="K13" s="18">
        <f t="shared" si="2"/>
        <v>0</v>
      </c>
      <c r="L13" s="15"/>
    </row>
    <row r="14">
      <c r="A14" s="22"/>
      <c r="D14" s="14"/>
      <c r="E14" s="19"/>
      <c r="F14" s="28"/>
      <c r="G14" s="28"/>
      <c r="H14" s="28"/>
      <c r="I14" s="28"/>
      <c r="J14" s="30">
        <f t="shared" si="1"/>
        <v>0</v>
      </c>
      <c r="K14" s="18">
        <f t="shared" si="2"/>
        <v>0</v>
      </c>
      <c r="L14" s="19"/>
    </row>
    <row r="15">
      <c r="B15" s="22"/>
      <c r="C15" s="22"/>
      <c r="D15" s="14"/>
      <c r="E15" s="15"/>
      <c r="F15" s="29"/>
      <c r="G15" s="29"/>
      <c r="H15" s="29"/>
      <c r="I15" s="29"/>
      <c r="J15" s="31">
        <f t="shared" si="1"/>
        <v>0</v>
      </c>
      <c r="K15" s="18">
        <f t="shared" si="2"/>
        <v>0</v>
      </c>
      <c r="L15" s="15"/>
    </row>
    <row r="16">
      <c r="A16" s="22"/>
      <c r="D16" s="14"/>
      <c r="E16" s="19"/>
      <c r="F16" s="28"/>
      <c r="G16" s="28"/>
      <c r="H16" s="28"/>
      <c r="I16" s="28"/>
      <c r="J16" s="30">
        <f t="shared" si="1"/>
        <v>0</v>
      </c>
      <c r="K16" s="18">
        <f t="shared" si="2"/>
        <v>0</v>
      </c>
      <c r="L16" s="19"/>
    </row>
    <row r="17">
      <c r="B17" s="22"/>
      <c r="C17" s="22"/>
      <c r="D17" s="14"/>
      <c r="E17" s="15"/>
      <c r="F17" s="29"/>
      <c r="G17" s="29"/>
      <c r="H17" s="29"/>
      <c r="I17" s="29"/>
      <c r="J17" s="31">
        <f t="shared" si="1"/>
        <v>0</v>
      </c>
      <c r="K17" s="18">
        <f t="shared" si="2"/>
        <v>0</v>
      </c>
      <c r="L17" s="15"/>
    </row>
    <row r="18">
      <c r="A18" s="22"/>
      <c r="D18" s="14"/>
      <c r="E18" s="19"/>
      <c r="F18" s="28"/>
      <c r="G18" s="28"/>
      <c r="H18" s="28"/>
      <c r="I18" s="28"/>
      <c r="J18" s="30">
        <f t="shared" si="1"/>
        <v>0</v>
      </c>
      <c r="K18" s="18">
        <f t="shared" si="2"/>
        <v>0</v>
      </c>
      <c r="L18" s="19"/>
    </row>
    <row r="19">
      <c r="B19" s="22"/>
      <c r="C19" s="22"/>
      <c r="D19" s="14"/>
      <c r="E19" s="15"/>
      <c r="F19" s="29"/>
      <c r="G19" s="29"/>
      <c r="H19" s="29"/>
      <c r="I19" s="29"/>
      <c r="J19" s="31">
        <f t="shared" si="1"/>
        <v>0</v>
      </c>
      <c r="K19" s="18">
        <f t="shared" si="2"/>
        <v>0</v>
      </c>
      <c r="L19" s="15"/>
    </row>
    <row r="20">
      <c r="A20" s="22"/>
    </row>
    <row r="21" ht="15.75" customHeight="1"/>
    <row r="22" ht="15.75" customHeight="1">
      <c r="A22" s="22"/>
    </row>
    <row r="23" ht="15.75" customHeight="1"/>
    <row r="24" ht="15.75" customHeight="1">
      <c r="A24" s="22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1:L1"/>
    <mergeCell ref="E2:L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0"/>
  <cols>
    <col customWidth="1" min="1" max="3" width="4.0"/>
    <col customWidth="1" min="4" max="4" width="40.0"/>
    <col customWidth="1" min="5" max="5" width="10.0"/>
    <col customWidth="1" min="6" max="6" width="18.0"/>
    <col customWidth="1" min="7" max="7" width="12.0"/>
    <col customWidth="1" min="8" max="9" width="22.0"/>
    <col customWidth="1" min="10" max="10" width="10.0"/>
    <col customWidth="1" min="11" max="11" width="14.0"/>
    <col customWidth="1" min="12" max="12" width="22.0"/>
    <col customWidth="1" min="13" max="26" width="14.38"/>
  </cols>
  <sheetData>
    <row r="1" ht="33.75" customHeight="1">
      <c r="A1" s="1"/>
      <c r="L1" s="32"/>
    </row>
    <row r="2" ht="33.75" customHeight="1">
      <c r="A2" s="5"/>
      <c r="E2" s="2" t="s">
        <v>0</v>
      </c>
      <c r="F2" s="3"/>
      <c r="G2" s="3"/>
      <c r="H2" s="3"/>
      <c r="I2" s="3"/>
      <c r="J2" s="3"/>
      <c r="K2" s="3"/>
      <c r="L2" s="4"/>
    </row>
    <row r="3" ht="33.75" customHeight="1">
      <c r="A3" s="5"/>
      <c r="B3" s="6"/>
      <c r="C3" s="6"/>
      <c r="D3" s="6"/>
      <c r="E3" s="7" t="s">
        <v>51</v>
      </c>
      <c r="F3" s="8"/>
      <c r="G3" s="8"/>
      <c r="H3" s="8"/>
      <c r="I3" s="8"/>
      <c r="J3" s="8"/>
      <c r="K3" s="8"/>
      <c r="L3" s="9"/>
    </row>
    <row r="4" ht="33.75" customHeight="1">
      <c r="A4" s="5"/>
      <c r="B4" s="6"/>
      <c r="C4" s="10"/>
      <c r="D4" s="11"/>
    </row>
    <row r="5" ht="33.75" customHeight="1">
      <c r="A5" s="5"/>
      <c r="D5" s="12" t="s">
        <v>2</v>
      </c>
      <c r="E5" s="12" t="s">
        <v>3</v>
      </c>
      <c r="F5" s="12" t="s">
        <v>4</v>
      </c>
      <c r="G5" s="12" t="s">
        <v>40</v>
      </c>
      <c r="H5" s="12" t="s">
        <v>41</v>
      </c>
      <c r="I5" s="12" t="s">
        <v>42</v>
      </c>
      <c r="J5" s="12" t="s">
        <v>7</v>
      </c>
      <c r="K5" s="12" t="s">
        <v>8</v>
      </c>
      <c r="L5" s="12" t="s">
        <v>9</v>
      </c>
    </row>
    <row r="6" ht="37.5" customHeight="1">
      <c r="A6" s="5"/>
      <c r="D6" s="14" t="s">
        <v>52</v>
      </c>
      <c r="E6" s="15" t="s">
        <v>13</v>
      </c>
      <c r="F6" s="16">
        <v>4.0</v>
      </c>
      <c r="G6" s="16">
        <v>4.0</v>
      </c>
      <c r="H6" s="16">
        <v>5.0</v>
      </c>
      <c r="I6" s="16">
        <v>7.0</v>
      </c>
      <c r="J6" s="17">
        <f t="shared" ref="J6:J19" si="1">SUM(F6:I6)</f>
        <v>20</v>
      </c>
      <c r="K6" s="18">
        <f t="shared" ref="K6:K19" si="2">J6/30</f>
        <v>0.6666666667</v>
      </c>
      <c r="L6" s="15"/>
    </row>
    <row r="7" ht="31.5" customHeight="1">
      <c r="A7" s="21"/>
      <c r="D7" s="14" t="s">
        <v>53</v>
      </c>
      <c r="E7" s="19" t="s">
        <v>13</v>
      </c>
      <c r="F7" s="20">
        <v>5.0</v>
      </c>
      <c r="G7" s="20">
        <v>5.0</v>
      </c>
      <c r="H7" s="20">
        <v>10.0</v>
      </c>
      <c r="I7" s="20">
        <v>10.0</v>
      </c>
      <c r="J7" s="17">
        <f t="shared" si="1"/>
        <v>30</v>
      </c>
      <c r="K7" s="18">
        <f t="shared" si="2"/>
        <v>1</v>
      </c>
      <c r="L7" s="19"/>
    </row>
    <row r="8">
      <c r="A8" s="5"/>
      <c r="B8" s="22"/>
      <c r="C8" s="22"/>
      <c r="D8" s="14" t="s">
        <v>54</v>
      </c>
      <c r="E8" s="15" t="s">
        <v>11</v>
      </c>
      <c r="F8" s="16">
        <v>5.0</v>
      </c>
      <c r="G8" s="16">
        <v>5.0</v>
      </c>
      <c r="H8" s="20">
        <v>9.0</v>
      </c>
      <c r="I8" s="20">
        <v>10.0</v>
      </c>
      <c r="J8" s="17">
        <f t="shared" si="1"/>
        <v>29</v>
      </c>
      <c r="K8" s="18">
        <f t="shared" si="2"/>
        <v>0.9666666667</v>
      </c>
      <c r="L8" s="15"/>
    </row>
    <row r="9">
      <c r="D9" s="23" t="s">
        <v>55</v>
      </c>
      <c r="E9" s="19" t="s">
        <v>11</v>
      </c>
      <c r="F9" s="20">
        <v>5.0</v>
      </c>
      <c r="G9" s="16">
        <v>5.0</v>
      </c>
      <c r="H9" s="20">
        <v>10.0</v>
      </c>
      <c r="I9" s="20">
        <v>10.0</v>
      </c>
      <c r="J9" s="17">
        <f t="shared" si="1"/>
        <v>30</v>
      </c>
      <c r="K9" s="18">
        <f t="shared" si="2"/>
        <v>1</v>
      </c>
      <c r="L9" s="19"/>
    </row>
    <row r="10">
      <c r="A10" s="22"/>
      <c r="B10" s="22"/>
      <c r="C10" s="22"/>
      <c r="D10" s="14" t="s">
        <v>56</v>
      </c>
      <c r="E10" s="16" t="s">
        <v>16</v>
      </c>
      <c r="F10" s="16">
        <v>4.5</v>
      </c>
      <c r="G10" s="16">
        <v>4.0</v>
      </c>
      <c r="H10" s="16">
        <v>7.0</v>
      </c>
      <c r="I10" s="16">
        <v>7.0</v>
      </c>
      <c r="J10" s="17">
        <f t="shared" si="1"/>
        <v>22.5</v>
      </c>
      <c r="K10" s="18">
        <f t="shared" si="2"/>
        <v>0.75</v>
      </c>
      <c r="L10" s="15"/>
    </row>
    <row r="11">
      <c r="D11" s="14" t="s">
        <v>57</v>
      </c>
      <c r="E11" s="20" t="s">
        <v>16</v>
      </c>
      <c r="F11" s="20">
        <v>5.0</v>
      </c>
      <c r="G11" s="16">
        <v>5.0</v>
      </c>
      <c r="H11" s="20">
        <v>10.0</v>
      </c>
      <c r="I11" s="20">
        <v>10.0</v>
      </c>
      <c r="J11" s="17">
        <f t="shared" si="1"/>
        <v>30</v>
      </c>
      <c r="K11" s="18">
        <f t="shared" si="2"/>
        <v>1</v>
      </c>
      <c r="L11" s="19"/>
    </row>
    <row r="12">
      <c r="A12" s="22"/>
      <c r="B12" s="22"/>
      <c r="C12" s="22"/>
      <c r="D12" s="14" t="s">
        <v>58</v>
      </c>
      <c r="E12" s="16" t="s">
        <v>16</v>
      </c>
      <c r="F12" s="16">
        <v>5.0</v>
      </c>
      <c r="G12" s="16">
        <v>4.5</v>
      </c>
      <c r="H12" s="16">
        <v>6.0</v>
      </c>
      <c r="I12" s="16">
        <v>7.5</v>
      </c>
      <c r="J12" s="17">
        <f t="shared" si="1"/>
        <v>23</v>
      </c>
      <c r="K12" s="18">
        <f t="shared" si="2"/>
        <v>0.7666666667</v>
      </c>
      <c r="L12" s="15"/>
    </row>
    <row r="13">
      <c r="D13" s="14" t="s">
        <v>59</v>
      </c>
      <c r="E13" s="20" t="s">
        <v>16</v>
      </c>
      <c r="F13" s="20">
        <v>4.5</v>
      </c>
      <c r="G13" s="20">
        <v>4.0</v>
      </c>
      <c r="H13" s="20">
        <v>5.0</v>
      </c>
      <c r="I13" s="20">
        <v>7.0</v>
      </c>
      <c r="J13" s="17">
        <f t="shared" si="1"/>
        <v>20.5</v>
      </c>
      <c r="K13" s="18">
        <f t="shared" si="2"/>
        <v>0.6833333333</v>
      </c>
      <c r="L13" s="19"/>
    </row>
    <row r="14">
      <c r="A14" s="22"/>
      <c r="B14" s="22"/>
      <c r="C14" s="22"/>
      <c r="D14" s="14" t="s">
        <v>60</v>
      </c>
      <c r="E14" s="16" t="s">
        <v>13</v>
      </c>
      <c r="F14" s="16">
        <v>4.0</v>
      </c>
      <c r="G14" s="16">
        <v>4.0</v>
      </c>
      <c r="H14" s="16">
        <v>7.0</v>
      </c>
      <c r="I14" s="16">
        <v>6.5</v>
      </c>
      <c r="J14" s="17">
        <f t="shared" si="1"/>
        <v>21.5</v>
      </c>
      <c r="K14" s="18">
        <f t="shared" si="2"/>
        <v>0.7166666667</v>
      </c>
      <c r="L14" s="15"/>
    </row>
    <row r="15">
      <c r="D15" s="23" t="s">
        <v>61</v>
      </c>
      <c r="E15" s="20" t="s">
        <v>16</v>
      </c>
      <c r="F15" s="20">
        <v>5.0</v>
      </c>
      <c r="G15" s="20" t="s">
        <v>62</v>
      </c>
      <c r="H15" s="20">
        <v>10.0</v>
      </c>
      <c r="I15" s="20" t="s">
        <v>62</v>
      </c>
      <c r="J15" s="17">
        <f t="shared" si="1"/>
        <v>15</v>
      </c>
      <c r="K15" s="18">
        <f t="shared" si="2"/>
        <v>0.5</v>
      </c>
      <c r="L15" s="19"/>
    </row>
    <row r="16">
      <c r="A16" s="22"/>
      <c r="B16" s="22"/>
      <c r="C16" s="22"/>
      <c r="D16" s="14"/>
      <c r="E16" s="15"/>
      <c r="F16" s="15"/>
      <c r="G16" s="15"/>
      <c r="H16" s="15"/>
      <c r="I16" s="15"/>
      <c r="J16" s="17">
        <f t="shared" si="1"/>
        <v>0</v>
      </c>
      <c r="K16" s="18">
        <f t="shared" si="2"/>
        <v>0</v>
      </c>
      <c r="L16" s="15"/>
    </row>
    <row r="17">
      <c r="D17" s="14"/>
      <c r="E17" s="19"/>
      <c r="F17" s="19"/>
      <c r="G17" s="19"/>
      <c r="H17" s="19"/>
      <c r="I17" s="19"/>
      <c r="J17" s="17">
        <f t="shared" si="1"/>
        <v>0</v>
      </c>
      <c r="K17" s="18">
        <f t="shared" si="2"/>
        <v>0</v>
      </c>
      <c r="L17" s="19"/>
    </row>
    <row r="18">
      <c r="A18" s="22"/>
      <c r="B18" s="22"/>
      <c r="C18" s="22"/>
      <c r="D18" s="14"/>
      <c r="E18" s="15"/>
      <c r="F18" s="15"/>
      <c r="G18" s="15"/>
      <c r="H18" s="15"/>
      <c r="I18" s="15"/>
      <c r="J18" s="17">
        <f t="shared" si="1"/>
        <v>0</v>
      </c>
      <c r="K18" s="18">
        <f t="shared" si="2"/>
        <v>0</v>
      </c>
      <c r="L18" s="15"/>
    </row>
    <row r="19" ht="15.75" customHeight="1">
      <c r="D19" s="14"/>
      <c r="E19" s="19"/>
      <c r="F19" s="19"/>
      <c r="G19" s="19"/>
      <c r="H19" s="19"/>
      <c r="I19" s="19"/>
      <c r="J19" s="17">
        <f t="shared" si="1"/>
        <v>0</v>
      </c>
      <c r="K19" s="18">
        <f t="shared" si="2"/>
        <v>0</v>
      </c>
      <c r="L19" s="19"/>
    </row>
    <row r="20" ht="15.75" customHeight="1">
      <c r="A20" s="22"/>
      <c r="B20" s="22"/>
      <c r="C20" s="22"/>
    </row>
    <row r="21" ht="15.75" customHeight="1"/>
    <row r="22" ht="15.75" customHeight="1">
      <c r="A22" s="22"/>
    </row>
    <row r="23" ht="15.75" customHeight="1"/>
    <row r="24" ht="15.75" customHeight="1">
      <c r="A24" s="22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E2:L2"/>
    <mergeCell ref="E3:L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0"/>
  <cols>
    <col customWidth="1" min="1" max="3" width="4.0"/>
    <col customWidth="1" min="4" max="4" width="40.0"/>
    <col customWidth="1" min="5" max="5" width="10.0"/>
    <col customWidth="1" min="6" max="6" width="18.0"/>
    <col customWidth="1" min="7" max="7" width="12.0"/>
    <col customWidth="1" min="8" max="9" width="22.0"/>
    <col customWidth="1" min="10" max="10" width="10.0"/>
    <col customWidth="1" min="11" max="11" width="14.0"/>
    <col customWidth="1" min="12" max="12" width="22.0"/>
    <col customWidth="1" min="13" max="26" width="14.38"/>
  </cols>
  <sheetData>
    <row r="1" ht="33.75" customHeight="1">
      <c r="A1" s="1"/>
      <c r="L1" s="32"/>
    </row>
    <row r="2" ht="33.75" customHeight="1">
      <c r="A2" s="5"/>
      <c r="E2" s="2" t="s">
        <v>0</v>
      </c>
      <c r="F2" s="3"/>
      <c r="G2" s="3"/>
      <c r="H2" s="3"/>
      <c r="I2" s="3"/>
      <c r="J2" s="3"/>
      <c r="K2" s="3"/>
      <c r="L2" s="4"/>
    </row>
    <row r="3" ht="33.75" customHeight="1">
      <c r="A3" s="5"/>
      <c r="B3" s="6"/>
      <c r="C3" s="6"/>
      <c r="D3" s="6"/>
      <c r="E3" s="7" t="s">
        <v>63</v>
      </c>
      <c r="F3" s="8"/>
      <c r="G3" s="8"/>
      <c r="H3" s="8"/>
      <c r="I3" s="8"/>
      <c r="J3" s="8"/>
      <c r="K3" s="8"/>
      <c r="L3" s="9"/>
    </row>
    <row r="4" ht="33.75" customHeight="1">
      <c r="A4" s="5"/>
      <c r="B4" s="6"/>
      <c r="C4" s="10"/>
      <c r="D4" s="11"/>
    </row>
    <row r="5" ht="33.75" customHeight="1">
      <c r="A5" s="5"/>
      <c r="D5" s="12" t="s">
        <v>2</v>
      </c>
      <c r="E5" s="12" t="s">
        <v>3</v>
      </c>
      <c r="F5" s="12" t="s">
        <v>4</v>
      </c>
      <c r="G5" s="12" t="s">
        <v>40</v>
      </c>
      <c r="H5" s="12" t="s">
        <v>41</v>
      </c>
      <c r="I5" s="12" t="s">
        <v>42</v>
      </c>
      <c r="J5" s="12" t="s">
        <v>7</v>
      </c>
      <c r="K5" s="12" t="s">
        <v>8</v>
      </c>
      <c r="L5" s="12" t="s">
        <v>9</v>
      </c>
    </row>
    <row r="6" ht="37.5" customHeight="1">
      <c r="A6" s="5"/>
      <c r="D6" s="23" t="s">
        <v>64</v>
      </c>
      <c r="E6" s="15" t="s">
        <v>11</v>
      </c>
      <c r="F6" s="16">
        <v>5.0</v>
      </c>
      <c r="G6" s="16">
        <v>5.0</v>
      </c>
      <c r="H6" s="16">
        <v>10.0</v>
      </c>
      <c r="I6" s="16">
        <v>10.0</v>
      </c>
      <c r="J6" s="17">
        <f t="shared" ref="J6:J19" si="1">SUM(F6:I6)</f>
        <v>30</v>
      </c>
      <c r="K6" s="18">
        <f t="shared" ref="K6:K19" si="2">J6/30</f>
        <v>1</v>
      </c>
      <c r="L6" s="15"/>
    </row>
    <row r="7" ht="31.5" customHeight="1">
      <c r="A7" s="21"/>
      <c r="D7" s="23" t="s">
        <v>65</v>
      </c>
      <c r="E7" s="19" t="s">
        <v>11</v>
      </c>
      <c r="F7" s="20">
        <v>4.0</v>
      </c>
      <c r="G7" s="20">
        <v>4.0</v>
      </c>
      <c r="H7" s="20">
        <v>8.0</v>
      </c>
      <c r="I7" s="16">
        <v>10.0</v>
      </c>
      <c r="J7" s="17">
        <f t="shared" si="1"/>
        <v>26</v>
      </c>
      <c r="K7" s="18">
        <f t="shared" si="2"/>
        <v>0.8666666667</v>
      </c>
      <c r="L7" s="19"/>
    </row>
    <row r="8">
      <c r="A8" s="21"/>
      <c r="B8" s="22"/>
      <c r="C8" s="22"/>
      <c r="D8" s="14" t="s">
        <v>66</v>
      </c>
      <c r="E8" s="15" t="s">
        <v>13</v>
      </c>
      <c r="F8" s="16">
        <v>0.0</v>
      </c>
      <c r="G8" s="16">
        <v>0.0</v>
      </c>
      <c r="H8" s="15"/>
      <c r="I8" s="16">
        <v>0.0</v>
      </c>
      <c r="J8" s="17">
        <f t="shared" si="1"/>
        <v>0</v>
      </c>
      <c r="K8" s="18">
        <f t="shared" si="2"/>
        <v>0</v>
      </c>
      <c r="L8" s="15"/>
    </row>
    <row r="9">
      <c r="A9" s="5"/>
      <c r="D9" s="14" t="s">
        <v>67</v>
      </c>
      <c r="E9" s="19" t="s">
        <v>13</v>
      </c>
      <c r="F9" s="20">
        <v>4.0</v>
      </c>
      <c r="G9" s="20">
        <v>5.0</v>
      </c>
      <c r="H9" s="20">
        <v>10.0</v>
      </c>
      <c r="I9" s="16">
        <v>10.0</v>
      </c>
      <c r="J9" s="17">
        <f t="shared" si="1"/>
        <v>29</v>
      </c>
      <c r="K9" s="18">
        <f t="shared" si="2"/>
        <v>0.9666666667</v>
      </c>
      <c r="L9" s="19"/>
    </row>
    <row r="10">
      <c r="A10" s="5"/>
      <c r="B10" s="22"/>
      <c r="C10" s="22"/>
      <c r="D10" s="14" t="s">
        <v>68</v>
      </c>
      <c r="E10" s="15" t="s">
        <v>11</v>
      </c>
      <c r="F10" s="16">
        <v>5.0</v>
      </c>
      <c r="G10" s="16">
        <v>3.0</v>
      </c>
      <c r="H10" s="16">
        <v>10.0</v>
      </c>
      <c r="I10" s="16">
        <v>8.0</v>
      </c>
      <c r="J10" s="17">
        <f t="shared" si="1"/>
        <v>26</v>
      </c>
      <c r="K10" s="18">
        <f t="shared" si="2"/>
        <v>0.8666666667</v>
      </c>
      <c r="L10" s="15"/>
    </row>
    <row r="11">
      <c r="D11" s="14" t="s">
        <v>69</v>
      </c>
      <c r="E11" s="19" t="s">
        <v>13</v>
      </c>
      <c r="F11" s="20">
        <v>4.0</v>
      </c>
      <c r="G11" s="20">
        <v>5.0</v>
      </c>
      <c r="H11" s="20">
        <v>10.0</v>
      </c>
      <c r="I11" s="16">
        <v>10.0</v>
      </c>
      <c r="J11" s="17">
        <f t="shared" si="1"/>
        <v>29</v>
      </c>
      <c r="K11" s="18">
        <f t="shared" si="2"/>
        <v>0.9666666667</v>
      </c>
      <c r="L11" s="19"/>
    </row>
    <row r="12">
      <c r="A12" s="22"/>
      <c r="B12" s="22"/>
      <c r="C12" s="22"/>
      <c r="D12" s="14" t="s">
        <v>70</v>
      </c>
      <c r="E12" s="15" t="s">
        <v>13</v>
      </c>
      <c r="F12" s="16">
        <v>3.0</v>
      </c>
      <c r="G12" s="16">
        <v>5.0</v>
      </c>
      <c r="H12" s="16">
        <v>10.0</v>
      </c>
      <c r="I12" s="16">
        <v>10.0</v>
      </c>
      <c r="J12" s="17">
        <f t="shared" si="1"/>
        <v>28</v>
      </c>
      <c r="K12" s="18">
        <f t="shared" si="2"/>
        <v>0.9333333333</v>
      </c>
      <c r="L12" s="15"/>
    </row>
    <row r="13">
      <c r="D13" s="14" t="s">
        <v>71</v>
      </c>
      <c r="E13" s="19"/>
      <c r="F13" s="20">
        <v>3.0</v>
      </c>
      <c r="G13" s="20">
        <v>4.0</v>
      </c>
      <c r="H13" s="20">
        <v>10.0</v>
      </c>
      <c r="I13" s="16">
        <v>10.0</v>
      </c>
      <c r="J13" s="17">
        <f t="shared" si="1"/>
        <v>27</v>
      </c>
      <c r="K13" s="18">
        <f t="shared" si="2"/>
        <v>0.9</v>
      </c>
      <c r="L13" s="19"/>
    </row>
    <row r="14">
      <c r="A14" s="22"/>
      <c r="B14" s="22"/>
      <c r="C14" s="22"/>
      <c r="D14" s="14" t="s">
        <v>72</v>
      </c>
      <c r="E14" s="16" t="s">
        <v>13</v>
      </c>
      <c r="F14" s="16">
        <v>5.0</v>
      </c>
      <c r="G14" s="16">
        <v>5.0</v>
      </c>
      <c r="H14" s="16">
        <v>10.0</v>
      </c>
      <c r="I14" s="16">
        <v>10.0</v>
      </c>
      <c r="J14" s="17">
        <f t="shared" si="1"/>
        <v>30</v>
      </c>
      <c r="K14" s="18">
        <f t="shared" si="2"/>
        <v>1</v>
      </c>
      <c r="L14" s="15"/>
    </row>
    <row r="15">
      <c r="D15" s="14"/>
      <c r="E15" s="19"/>
      <c r="F15" s="19"/>
      <c r="G15" s="19"/>
      <c r="H15" s="19"/>
      <c r="I15" s="16"/>
      <c r="J15" s="17">
        <f t="shared" si="1"/>
        <v>0</v>
      </c>
      <c r="K15" s="18">
        <f t="shared" si="2"/>
        <v>0</v>
      </c>
      <c r="L15" s="19"/>
    </row>
    <row r="16">
      <c r="A16" s="22"/>
      <c r="B16" s="22"/>
      <c r="C16" s="22"/>
      <c r="D16" s="14"/>
      <c r="E16" s="15"/>
      <c r="F16" s="15"/>
      <c r="G16" s="15"/>
      <c r="H16" s="15"/>
      <c r="I16" s="16"/>
      <c r="J16" s="17">
        <f t="shared" si="1"/>
        <v>0</v>
      </c>
      <c r="K16" s="18">
        <f t="shared" si="2"/>
        <v>0</v>
      </c>
      <c r="L16" s="15"/>
    </row>
    <row r="17">
      <c r="D17" s="14"/>
      <c r="E17" s="19"/>
      <c r="F17" s="19"/>
      <c r="G17" s="19"/>
      <c r="H17" s="19"/>
      <c r="I17" s="19"/>
      <c r="J17" s="17">
        <f t="shared" si="1"/>
        <v>0</v>
      </c>
      <c r="K17" s="18">
        <f t="shared" si="2"/>
        <v>0</v>
      </c>
      <c r="L17" s="19"/>
    </row>
    <row r="18">
      <c r="A18" s="22"/>
      <c r="B18" s="22"/>
      <c r="C18" s="22"/>
      <c r="D18" s="14"/>
      <c r="E18" s="15"/>
      <c r="F18" s="15"/>
      <c r="G18" s="15"/>
      <c r="H18" s="15"/>
      <c r="I18" s="15"/>
      <c r="J18" s="17">
        <f t="shared" si="1"/>
        <v>0</v>
      </c>
      <c r="K18" s="18">
        <f t="shared" si="2"/>
        <v>0</v>
      </c>
      <c r="L18" s="15"/>
    </row>
    <row r="19">
      <c r="D19" s="14"/>
      <c r="E19" s="19"/>
      <c r="F19" s="19"/>
      <c r="G19" s="19"/>
      <c r="H19" s="19"/>
      <c r="I19" s="19"/>
      <c r="J19" s="17">
        <f t="shared" si="1"/>
        <v>0</v>
      </c>
      <c r="K19" s="18">
        <f t="shared" si="2"/>
        <v>0</v>
      </c>
      <c r="L19" s="19"/>
    </row>
    <row r="20">
      <c r="A20" s="22"/>
      <c r="B20" s="22"/>
      <c r="C20" s="22"/>
    </row>
    <row r="21" ht="15.75" customHeight="1"/>
    <row r="22" ht="15.75" customHeight="1">
      <c r="A22" s="22"/>
    </row>
    <row r="23" ht="15.75" customHeight="1"/>
    <row r="24" ht="15.75" customHeight="1">
      <c r="A24" s="22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2:L2"/>
    <mergeCell ref="E3:L3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3" width="4.0"/>
    <col customWidth="1" min="4" max="4" width="40.0"/>
    <col customWidth="1" min="5" max="5" width="10.0"/>
    <col customWidth="1" min="6" max="6" width="18.0"/>
    <col customWidth="1" min="7" max="7" width="12.0"/>
    <col customWidth="1" min="8" max="9" width="22.0"/>
    <col customWidth="1" min="10" max="10" width="10.0"/>
    <col customWidth="1" min="11" max="11" width="14.0"/>
    <col customWidth="1" min="12" max="12" width="22.0"/>
    <col customWidth="1" min="13" max="26" width="14.38"/>
  </cols>
  <sheetData>
    <row r="1" ht="33.75" customHeight="1">
      <c r="A1" s="1"/>
      <c r="G1" s="33"/>
      <c r="K1" s="33"/>
      <c r="L1" s="32"/>
    </row>
    <row r="2" ht="33.75" customHeight="1">
      <c r="A2" s="5"/>
      <c r="E2" s="2" t="s">
        <v>0</v>
      </c>
      <c r="F2" s="3"/>
      <c r="G2" s="3"/>
      <c r="H2" s="3"/>
      <c r="I2" s="3"/>
      <c r="J2" s="3"/>
      <c r="K2" s="3"/>
      <c r="L2" s="4"/>
    </row>
    <row r="3" ht="33.75" customHeight="1">
      <c r="A3" s="5"/>
      <c r="B3" s="6"/>
      <c r="C3" s="6"/>
      <c r="D3" s="6"/>
      <c r="E3" s="7" t="s">
        <v>73</v>
      </c>
      <c r="F3" s="8"/>
      <c r="G3" s="8"/>
      <c r="H3" s="8"/>
      <c r="I3" s="8"/>
      <c r="J3" s="8"/>
      <c r="K3" s="8"/>
      <c r="L3" s="9"/>
    </row>
    <row r="4" ht="33.75" customHeight="1">
      <c r="A4" s="5"/>
      <c r="B4" s="6"/>
      <c r="C4" s="10"/>
      <c r="D4" s="12" t="s">
        <v>2</v>
      </c>
      <c r="E4" s="12" t="s">
        <v>3</v>
      </c>
      <c r="F4" s="12" t="s">
        <v>74</v>
      </c>
      <c r="G4" s="12" t="s">
        <v>75</v>
      </c>
      <c r="H4" s="12" t="s">
        <v>41</v>
      </c>
      <c r="I4" s="12" t="s">
        <v>42</v>
      </c>
      <c r="J4" s="12" t="s">
        <v>76</v>
      </c>
      <c r="K4" s="12" t="s">
        <v>8</v>
      </c>
      <c r="L4" s="12" t="s">
        <v>9</v>
      </c>
    </row>
    <row r="5" ht="33.75" customHeight="1">
      <c r="A5" s="5"/>
      <c r="D5" s="14" t="s">
        <v>77</v>
      </c>
      <c r="E5" s="15" t="s">
        <v>23</v>
      </c>
      <c r="F5" s="16">
        <v>0.0</v>
      </c>
      <c r="G5" s="16">
        <v>0.0</v>
      </c>
      <c r="H5" s="16">
        <v>6.75</v>
      </c>
      <c r="I5" s="16">
        <v>6.0</v>
      </c>
      <c r="J5" s="24">
        <f>SUM(F5:I5)</f>
        <v>12.75</v>
      </c>
      <c r="K5" s="34">
        <f t="shared" ref="K5:K29" si="1">J5/40</f>
        <v>0.31875</v>
      </c>
      <c r="L5" s="15"/>
    </row>
    <row r="6" ht="37.5" customHeight="1">
      <c r="A6" s="5"/>
      <c r="D6" s="14" t="s">
        <v>78</v>
      </c>
      <c r="E6" s="19" t="s">
        <v>16</v>
      </c>
      <c r="F6" s="20">
        <v>8.0</v>
      </c>
      <c r="G6" s="20">
        <v>8.0</v>
      </c>
      <c r="H6" s="20" t="s">
        <v>79</v>
      </c>
      <c r="I6" s="20">
        <v>7.8</v>
      </c>
      <c r="J6" s="24">
        <f t="shared" ref="J6:J29" si="2">F6+G6+H6+I6</f>
        <v>33.3</v>
      </c>
      <c r="K6" s="34">
        <f t="shared" si="1"/>
        <v>0.8325</v>
      </c>
      <c r="L6" s="19"/>
    </row>
    <row r="7" ht="31.5" customHeight="1">
      <c r="A7" s="21"/>
      <c r="D7" s="14" t="s">
        <v>80</v>
      </c>
      <c r="E7" s="15" t="s">
        <v>16</v>
      </c>
      <c r="F7" s="16">
        <v>8.0</v>
      </c>
      <c r="G7" s="16">
        <v>6.0</v>
      </c>
      <c r="H7" s="16" t="s">
        <v>81</v>
      </c>
      <c r="I7" s="16">
        <v>5.7</v>
      </c>
      <c r="J7" s="24">
        <f t="shared" si="2"/>
        <v>23.2</v>
      </c>
      <c r="K7" s="34">
        <f t="shared" si="1"/>
        <v>0.58</v>
      </c>
      <c r="L7" s="15"/>
    </row>
    <row r="8">
      <c r="A8" s="21"/>
      <c r="B8" s="22"/>
      <c r="C8" s="22"/>
      <c r="D8" s="14" t="s">
        <v>82</v>
      </c>
      <c r="E8" s="19" t="s">
        <v>23</v>
      </c>
      <c r="F8" s="20">
        <v>8.0</v>
      </c>
      <c r="G8" s="20">
        <v>0.0</v>
      </c>
      <c r="H8" s="20" t="s">
        <v>83</v>
      </c>
      <c r="I8" s="20">
        <v>5.8</v>
      </c>
      <c r="J8" s="24">
        <f t="shared" si="2"/>
        <v>22.55</v>
      </c>
      <c r="K8" s="34">
        <f t="shared" si="1"/>
        <v>0.56375</v>
      </c>
      <c r="L8" s="19"/>
    </row>
    <row r="9">
      <c r="A9" s="5"/>
      <c r="D9" s="14" t="s">
        <v>84</v>
      </c>
      <c r="E9" s="15" t="s">
        <v>23</v>
      </c>
      <c r="F9" s="16">
        <v>9.0</v>
      </c>
      <c r="G9" s="16">
        <v>10.0</v>
      </c>
      <c r="H9" s="16">
        <v>9.0</v>
      </c>
      <c r="I9" s="16">
        <v>9.3</v>
      </c>
      <c r="J9" s="24">
        <f t="shared" si="2"/>
        <v>37.3</v>
      </c>
      <c r="K9" s="34">
        <f t="shared" si="1"/>
        <v>0.9325</v>
      </c>
      <c r="L9" s="15"/>
    </row>
    <row r="10">
      <c r="A10" s="5"/>
      <c r="B10" s="22"/>
      <c r="C10" s="22"/>
      <c r="D10" s="14" t="s">
        <v>85</v>
      </c>
      <c r="E10" s="19" t="s">
        <v>18</v>
      </c>
      <c r="F10" s="20">
        <v>0.0</v>
      </c>
      <c r="G10" s="20">
        <v>0.0</v>
      </c>
      <c r="H10" s="20">
        <v>8.0</v>
      </c>
      <c r="I10" s="20">
        <v>6.5</v>
      </c>
      <c r="J10" s="24">
        <f t="shared" si="2"/>
        <v>14.5</v>
      </c>
      <c r="K10" s="34">
        <f t="shared" si="1"/>
        <v>0.3625</v>
      </c>
      <c r="L10" s="19"/>
    </row>
    <row r="11">
      <c r="D11" s="14" t="s">
        <v>86</v>
      </c>
      <c r="E11" s="15" t="s">
        <v>16</v>
      </c>
      <c r="F11" s="16">
        <v>7.0</v>
      </c>
      <c r="G11" s="16">
        <v>7.0</v>
      </c>
      <c r="H11" s="16">
        <v>8.0</v>
      </c>
      <c r="I11" s="16">
        <v>6.8</v>
      </c>
      <c r="J11" s="24">
        <f t="shared" si="2"/>
        <v>28.8</v>
      </c>
      <c r="K11" s="34">
        <f t="shared" si="1"/>
        <v>0.72</v>
      </c>
      <c r="L11" s="15"/>
    </row>
    <row r="12">
      <c r="A12" s="22"/>
      <c r="B12" s="22"/>
      <c r="C12" s="22"/>
      <c r="D12" s="23" t="s">
        <v>87</v>
      </c>
      <c r="E12" s="19" t="s">
        <v>16</v>
      </c>
      <c r="F12" s="20">
        <v>7.0</v>
      </c>
      <c r="G12" s="20">
        <v>7.0</v>
      </c>
      <c r="H12" s="20" t="s">
        <v>83</v>
      </c>
      <c r="I12" s="20">
        <v>9.1</v>
      </c>
      <c r="J12" s="24">
        <f t="shared" si="2"/>
        <v>31.85</v>
      </c>
      <c r="K12" s="34">
        <f t="shared" si="1"/>
        <v>0.79625</v>
      </c>
      <c r="L12" s="19"/>
    </row>
    <row r="13">
      <c r="D13" s="14" t="s">
        <v>88</v>
      </c>
      <c r="E13" s="15" t="s">
        <v>16</v>
      </c>
      <c r="F13" s="16">
        <v>4.0</v>
      </c>
      <c r="G13" s="16">
        <v>2.0</v>
      </c>
      <c r="H13" s="16">
        <v>4.0</v>
      </c>
      <c r="I13" s="16">
        <v>3.7</v>
      </c>
      <c r="J13" s="24">
        <f t="shared" si="2"/>
        <v>13.7</v>
      </c>
      <c r="K13" s="34">
        <f t="shared" si="1"/>
        <v>0.3425</v>
      </c>
      <c r="L13" s="15"/>
    </row>
    <row r="14">
      <c r="A14" s="22"/>
      <c r="B14" s="22"/>
      <c r="C14" s="22"/>
      <c r="D14" s="14" t="s">
        <v>89</v>
      </c>
      <c r="E14" s="19" t="s">
        <v>23</v>
      </c>
      <c r="F14" s="20">
        <v>8.0</v>
      </c>
      <c r="G14" s="20">
        <v>7.0</v>
      </c>
      <c r="H14" s="20">
        <v>9.0</v>
      </c>
      <c r="I14" s="20">
        <v>7.6</v>
      </c>
      <c r="J14" s="24">
        <f t="shared" si="2"/>
        <v>31.6</v>
      </c>
      <c r="K14" s="34">
        <f t="shared" si="1"/>
        <v>0.79</v>
      </c>
      <c r="L14" s="19"/>
    </row>
    <row r="15">
      <c r="D15" s="14" t="s">
        <v>90</v>
      </c>
      <c r="E15" s="15" t="s">
        <v>18</v>
      </c>
      <c r="F15" s="16">
        <v>7.0</v>
      </c>
      <c r="G15" s="16">
        <v>7.0</v>
      </c>
      <c r="H15" s="16">
        <v>7.0</v>
      </c>
      <c r="I15" s="16">
        <v>7.0</v>
      </c>
      <c r="J15" s="24">
        <f t="shared" si="2"/>
        <v>28</v>
      </c>
      <c r="K15" s="34">
        <f t="shared" si="1"/>
        <v>0.7</v>
      </c>
      <c r="L15" s="15"/>
    </row>
    <row r="16">
      <c r="A16" s="22"/>
      <c r="B16" s="22"/>
      <c r="C16" s="22"/>
      <c r="D16" s="14" t="s">
        <v>91</v>
      </c>
      <c r="E16" s="19" t="s">
        <v>18</v>
      </c>
      <c r="F16" s="20">
        <v>6.0</v>
      </c>
      <c r="G16" s="20">
        <v>5.0</v>
      </c>
      <c r="H16" s="20" t="s">
        <v>92</v>
      </c>
      <c r="I16" s="20">
        <v>5.0</v>
      </c>
      <c r="J16" s="24">
        <f t="shared" si="2"/>
        <v>22.5</v>
      </c>
      <c r="K16" s="34">
        <f t="shared" si="1"/>
        <v>0.5625</v>
      </c>
      <c r="L16" s="19"/>
    </row>
    <row r="17">
      <c r="D17" s="14" t="s">
        <v>93</v>
      </c>
      <c r="E17" s="15" t="s">
        <v>16</v>
      </c>
      <c r="F17" s="16">
        <v>0.0</v>
      </c>
      <c r="G17" s="16">
        <v>0.0</v>
      </c>
      <c r="H17" s="16">
        <v>0.0</v>
      </c>
      <c r="I17" s="16">
        <v>0.0</v>
      </c>
      <c r="J17" s="24">
        <f t="shared" si="2"/>
        <v>0</v>
      </c>
      <c r="K17" s="34">
        <f t="shared" si="1"/>
        <v>0</v>
      </c>
      <c r="L17" s="15"/>
    </row>
    <row r="18">
      <c r="A18" s="22"/>
      <c r="B18" s="22"/>
      <c r="C18" s="22"/>
      <c r="D18" s="14" t="s">
        <v>94</v>
      </c>
      <c r="E18" s="19" t="s">
        <v>16</v>
      </c>
      <c r="F18" s="20">
        <v>6.0</v>
      </c>
      <c r="G18" s="20">
        <v>4.0</v>
      </c>
      <c r="H18" s="20" t="s">
        <v>95</v>
      </c>
      <c r="I18" s="20">
        <v>5.3</v>
      </c>
      <c r="J18" s="24">
        <f t="shared" si="2"/>
        <v>18.63</v>
      </c>
      <c r="K18" s="34">
        <f t="shared" si="1"/>
        <v>0.46575</v>
      </c>
      <c r="L18" s="19"/>
    </row>
    <row r="19">
      <c r="D19" s="14" t="s">
        <v>96</v>
      </c>
      <c r="E19" s="15" t="s">
        <v>18</v>
      </c>
      <c r="F19" s="16">
        <v>0.0</v>
      </c>
      <c r="G19" s="16">
        <v>0.0</v>
      </c>
      <c r="H19" s="16">
        <v>0.0</v>
      </c>
      <c r="I19" s="16">
        <v>0.0</v>
      </c>
      <c r="J19" s="24">
        <f t="shared" si="2"/>
        <v>0</v>
      </c>
      <c r="K19" s="34">
        <f t="shared" si="1"/>
        <v>0</v>
      </c>
      <c r="L19" s="15"/>
    </row>
    <row r="20">
      <c r="A20" s="22"/>
      <c r="B20" s="22"/>
      <c r="C20" s="22"/>
      <c r="D20" s="14" t="s">
        <v>97</v>
      </c>
      <c r="E20" s="19" t="s">
        <v>16</v>
      </c>
      <c r="F20" s="20">
        <v>4.0</v>
      </c>
      <c r="G20" s="20">
        <v>7.0</v>
      </c>
      <c r="H20" s="20">
        <v>5.0</v>
      </c>
      <c r="I20" s="20">
        <v>3.1</v>
      </c>
      <c r="J20" s="24">
        <f t="shared" si="2"/>
        <v>19.1</v>
      </c>
      <c r="K20" s="34">
        <f t="shared" si="1"/>
        <v>0.4775</v>
      </c>
      <c r="L20" s="19"/>
    </row>
    <row r="21" ht="15.75" customHeight="1">
      <c r="D21" s="14" t="s">
        <v>98</v>
      </c>
      <c r="E21" s="15" t="s">
        <v>16</v>
      </c>
      <c r="F21" s="16">
        <v>0.0</v>
      </c>
      <c r="G21" s="16">
        <v>0.0</v>
      </c>
      <c r="H21" s="16">
        <v>0.0</v>
      </c>
      <c r="I21" s="16">
        <v>0.0</v>
      </c>
      <c r="J21" s="24">
        <f t="shared" si="2"/>
        <v>0</v>
      </c>
      <c r="K21" s="34">
        <f t="shared" si="1"/>
        <v>0</v>
      </c>
      <c r="L21" s="15"/>
    </row>
    <row r="22" ht="15.75" customHeight="1">
      <c r="A22" s="22"/>
      <c r="B22" s="22"/>
      <c r="C22" s="22"/>
      <c r="D22" s="14" t="s">
        <v>99</v>
      </c>
      <c r="E22" s="19" t="s">
        <v>16</v>
      </c>
      <c r="F22" s="20">
        <v>0.0</v>
      </c>
      <c r="G22" s="20">
        <v>0.0</v>
      </c>
      <c r="H22" s="20">
        <v>0.0</v>
      </c>
      <c r="I22" s="20">
        <v>0.0</v>
      </c>
      <c r="J22" s="24">
        <f t="shared" si="2"/>
        <v>0</v>
      </c>
      <c r="K22" s="34">
        <f t="shared" si="1"/>
        <v>0</v>
      </c>
      <c r="L22" s="19"/>
    </row>
    <row r="23" ht="15.75" customHeight="1">
      <c r="D23" s="14" t="s">
        <v>100</v>
      </c>
      <c r="E23" s="15" t="s">
        <v>16</v>
      </c>
      <c r="F23" s="16">
        <v>4.0</v>
      </c>
      <c r="G23" s="16">
        <v>5.0</v>
      </c>
      <c r="H23" s="16">
        <v>7.0</v>
      </c>
      <c r="I23" s="16">
        <v>5.1</v>
      </c>
      <c r="J23" s="24">
        <f t="shared" si="2"/>
        <v>21.1</v>
      </c>
      <c r="K23" s="34">
        <f t="shared" si="1"/>
        <v>0.5275</v>
      </c>
      <c r="L23" s="15"/>
    </row>
    <row r="24" ht="15.75" customHeight="1">
      <c r="A24" s="22"/>
      <c r="B24" s="22"/>
      <c r="C24" s="22"/>
      <c r="D24" s="14" t="s">
        <v>101</v>
      </c>
      <c r="E24" s="19"/>
      <c r="F24" s="20">
        <v>4.0</v>
      </c>
      <c r="G24" s="20">
        <v>4.0</v>
      </c>
      <c r="H24" s="20" t="s">
        <v>102</v>
      </c>
      <c r="I24" s="20">
        <v>6.3</v>
      </c>
      <c r="J24" s="24">
        <f t="shared" si="2"/>
        <v>19.8</v>
      </c>
      <c r="K24" s="34">
        <f t="shared" si="1"/>
        <v>0.495</v>
      </c>
      <c r="L24" s="19"/>
    </row>
    <row r="25" ht="15.75" customHeight="1">
      <c r="D25" s="35" t="s">
        <v>103</v>
      </c>
      <c r="F25" s="36">
        <v>4.0</v>
      </c>
      <c r="G25" s="37">
        <v>5.0</v>
      </c>
      <c r="H25" s="16">
        <v>10.0</v>
      </c>
      <c r="I25" s="16">
        <v>7.0</v>
      </c>
      <c r="J25" s="24">
        <f t="shared" si="2"/>
        <v>26</v>
      </c>
      <c r="K25" s="34">
        <f t="shared" si="1"/>
        <v>0.65</v>
      </c>
      <c r="L25" s="15"/>
    </row>
    <row r="26" ht="15.75" customHeight="1">
      <c r="A26" s="22"/>
      <c r="B26" s="22"/>
      <c r="C26" s="22"/>
      <c r="D26" s="35" t="s">
        <v>104</v>
      </c>
      <c r="F26" s="36">
        <v>4.0</v>
      </c>
      <c r="G26" s="37">
        <v>5.0</v>
      </c>
      <c r="H26" s="20">
        <v>6.0</v>
      </c>
      <c r="I26" s="20">
        <v>8.2</v>
      </c>
      <c r="J26" s="24">
        <f t="shared" si="2"/>
        <v>23.2</v>
      </c>
      <c r="K26" s="34">
        <f t="shared" si="1"/>
        <v>0.58</v>
      </c>
      <c r="L26" s="19"/>
    </row>
    <row r="27" ht="15.75" customHeight="1">
      <c r="D27" s="35" t="s">
        <v>105</v>
      </c>
      <c r="E27" s="15"/>
      <c r="F27" s="16">
        <v>4.0</v>
      </c>
      <c r="G27" s="37">
        <v>5.0</v>
      </c>
      <c r="H27" s="16" t="s">
        <v>102</v>
      </c>
      <c r="I27" s="16">
        <v>4.5</v>
      </c>
      <c r="J27" s="24">
        <f t="shared" si="2"/>
        <v>19</v>
      </c>
      <c r="K27" s="34">
        <f t="shared" si="1"/>
        <v>0.475</v>
      </c>
      <c r="L27" s="15"/>
    </row>
    <row r="28" ht="15.75" customHeight="1">
      <c r="A28" s="22"/>
      <c r="B28" s="22"/>
      <c r="C28" s="22"/>
      <c r="D28" s="35" t="s">
        <v>106</v>
      </c>
      <c r="E28" s="19"/>
      <c r="F28" s="20">
        <v>4.0</v>
      </c>
      <c r="G28" s="20">
        <v>2.0</v>
      </c>
      <c r="H28" s="20" t="s">
        <v>107</v>
      </c>
      <c r="I28" s="20">
        <v>4.0</v>
      </c>
      <c r="J28" s="24">
        <f t="shared" si="2"/>
        <v>12.67</v>
      </c>
      <c r="K28" s="34">
        <f t="shared" si="1"/>
        <v>0.31675</v>
      </c>
      <c r="L28" s="19"/>
    </row>
    <row r="29" ht="15.75" customHeight="1">
      <c r="D29" s="35" t="s">
        <v>108</v>
      </c>
      <c r="E29" s="15"/>
      <c r="F29" s="16">
        <v>5.0</v>
      </c>
      <c r="G29" s="16">
        <v>5.0</v>
      </c>
      <c r="H29" s="16">
        <v>0.0</v>
      </c>
      <c r="I29" s="16">
        <v>5.3</v>
      </c>
      <c r="J29" s="24">
        <f t="shared" si="2"/>
        <v>15.3</v>
      </c>
      <c r="K29" s="34">
        <f t="shared" si="1"/>
        <v>0.3825</v>
      </c>
      <c r="L29" s="15"/>
    </row>
    <row r="30" ht="15.75" customHeight="1">
      <c r="A30" s="22"/>
      <c r="B30" s="22"/>
      <c r="C30" s="22"/>
      <c r="G30" s="33"/>
      <c r="K30" s="33"/>
    </row>
    <row r="31" ht="15.75" customHeight="1">
      <c r="G31" s="33"/>
      <c r="K31" s="33"/>
    </row>
    <row r="32" ht="15.75" customHeight="1">
      <c r="A32" s="22"/>
      <c r="G32" s="33"/>
      <c r="K32" s="33"/>
    </row>
    <row r="33" ht="15.75" customHeight="1">
      <c r="G33" s="33"/>
      <c r="K33" s="33"/>
    </row>
    <row r="34" ht="15.75" customHeight="1">
      <c r="A34" s="22"/>
      <c r="G34" s="33"/>
      <c r="K34" s="33"/>
    </row>
    <row r="35" ht="15.75" customHeight="1">
      <c r="G35" s="33"/>
      <c r="K35" s="33"/>
    </row>
    <row r="36" ht="15.75" customHeight="1">
      <c r="G36" s="33"/>
      <c r="K36" s="33"/>
    </row>
    <row r="37" ht="15.75" customHeight="1">
      <c r="G37" s="33"/>
      <c r="K37" s="33"/>
    </row>
    <row r="38" ht="15.75" customHeight="1">
      <c r="G38" s="33"/>
      <c r="K38" s="33"/>
    </row>
    <row r="39" ht="15.75" customHeight="1">
      <c r="G39" s="33"/>
      <c r="K39" s="33"/>
    </row>
    <row r="40" ht="15.75" customHeight="1">
      <c r="G40" s="33"/>
      <c r="K40" s="33"/>
    </row>
    <row r="41" ht="15.75" customHeight="1">
      <c r="G41" s="33"/>
      <c r="K41" s="33"/>
    </row>
    <row r="42" ht="15.75" customHeight="1">
      <c r="G42" s="33"/>
      <c r="K42" s="33"/>
    </row>
    <row r="43" ht="15.75" customHeight="1">
      <c r="G43" s="33"/>
      <c r="K43" s="33"/>
    </row>
    <row r="44" ht="15.75" customHeight="1">
      <c r="G44" s="33"/>
      <c r="K44" s="33"/>
    </row>
    <row r="45" ht="15.75" customHeight="1">
      <c r="G45" s="33"/>
      <c r="K45" s="33"/>
    </row>
    <row r="46" ht="15.75" customHeight="1">
      <c r="G46" s="33"/>
      <c r="K46" s="33"/>
    </row>
    <row r="47" ht="15.75" customHeight="1">
      <c r="G47" s="33"/>
      <c r="K47" s="33"/>
    </row>
    <row r="48" ht="15.75" customHeight="1">
      <c r="G48" s="33"/>
      <c r="K48" s="33"/>
    </row>
    <row r="49" ht="15.75" customHeight="1">
      <c r="G49" s="33"/>
      <c r="K49" s="33"/>
    </row>
    <row r="50" ht="15.75" customHeight="1">
      <c r="G50" s="33"/>
      <c r="K50" s="33"/>
    </row>
    <row r="51" ht="15.75" customHeight="1">
      <c r="G51" s="33"/>
      <c r="K51" s="33"/>
    </row>
    <row r="52" ht="15.75" customHeight="1">
      <c r="G52" s="33"/>
      <c r="K52" s="33"/>
    </row>
    <row r="53" ht="15.75" customHeight="1">
      <c r="G53" s="33"/>
      <c r="K53" s="33"/>
    </row>
    <row r="54" ht="15.75" customHeight="1">
      <c r="G54" s="33"/>
      <c r="K54" s="33"/>
    </row>
    <row r="55" ht="15.75" customHeight="1">
      <c r="G55" s="33"/>
      <c r="K55" s="33"/>
    </row>
    <row r="56" ht="15.75" customHeight="1">
      <c r="G56" s="33"/>
      <c r="K56" s="33"/>
    </row>
    <row r="57" ht="15.75" customHeight="1">
      <c r="G57" s="33"/>
      <c r="K57" s="33"/>
    </row>
    <row r="58" ht="15.75" customHeight="1">
      <c r="G58" s="33"/>
      <c r="K58" s="33"/>
    </row>
    <row r="59" ht="15.75" customHeight="1">
      <c r="G59" s="33"/>
      <c r="K59" s="33"/>
    </row>
    <row r="60" ht="15.75" customHeight="1">
      <c r="G60" s="33"/>
      <c r="K60" s="33"/>
    </row>
    <row r="61" ht="15.75" customHeight="1">
      <c r="G61" s="33"/>
      <c r="K61" s="33"/>
    </row>
    <row r="62" ht="15.75" customHeight="1">
      <c r="G62" s="33"/>
      <c r="K62" s="33"/>
    </row>
    <row r="63" ht="15.75" customHeight="1">
      <c r="G63" s="33"/>
      <c r="K63" s="33"/>
    </row>
    <row r="64" ht="15.75" customHeight="1">
      <c r="G64" s="33"/>
      <c r="K64" s="33"/>
    </row>
    <row r="65" ht="15.75" customHeight="1">
      <c r="G65" s="33"/>
      <c r="K65" s="33"/>
    </row>
    <row r="66" ht="15.75" customHeight="1">
      <c r="G66" s="33"/>
      <c r="K66" s="33"/>
    </row>
    <row r="67" ht="15.75" customHeight="1">
      <c r="G67" s="33"/>
      <c r="K67" s="33"/>
    </row>
    <row r="68" ht="15.75" customHeight="1">
      <c r="G68" s="33"/>
      <c r="K68" s="33"/>
    </row>
    <row r="69" ht="15.75" customHeight="1">
      <c r="G69" s="33"/>
      <c r="K69" s="33"/>
    </row>
    <row r="70" ht="15.75" customHeight="1">
      <c r="G70" s="33"/>
      <c r="K70" s="33"/>
    </row>
    <row r="71" ht="15.75" customHeight="1">
      <c r="G71" s="33"/>
      <c r="K71" s="33"/>
    </row>
    <row r="72" ht="15.75" customHeight="1">
      <c r="G72" s="33"/>
      <c r="K72" s="33"/>
    </row>
    <row r="73" ht="15.75" customHeight="1">
      <c r="G73" s="33"/>
      <c r="K73" s="33"/>
    </row>
    <row r="74" ht="15.75" customHeight="1">
      <c r="G74" s="33"/>
      <c r="K74" s="33"/>
    </row>
    <row r="75" ht="15.75" customHeight="1">
      <c r="G75" s="33"/>
      <c r="K75" s="33"/>
    </row>
    <row r="76" ht="15.75" customHeight="1">
      <c r="G76" s="33"/>
      <c r="K76" s="33"/>
    </row>
    <row r="77" ht="15.75" customHeight="1">
      <c r="G77" s="33"/>
      <c r="K77" s="33"/>
    </row>
    <row r="78" ht="15.75" customHeight="1">
      <c r="G78" s="33"/>
      <c r="K78" s="33"/>
    </row>
    <row r="79" ht="15.75" customHeight="1">
      <c r="G79" s="33"/>
      <c r="K79" s="33"/>
    </row>
    <row r="80" ht="15.75" customHeight="1">
      <c r="G80" s="33"/>
      <c r="K80" s="33"/>
    </row>
    <row r="81" ht="15.75" customHeight="1">
      <c r="G81" s="33"/>
      <c r="K81" s="33"/>
    </row>
    <row r="82" ht="15.75" customHeight="1">
      <c r="G82" s="33"/>
      <c r="K82" s="33"/>
    </row>
    <row r="83" ht="15.75" customHeight="1">
      <c r="G83" s="33"/>
      <c r="K83" s="33"/>
    </row>
    <row r="84" ht="15.75" customHeight="1">
      <c r="G84" s="33"/>
      <c r="K84" s="33"/>
    </row>
    <row r="85" ht="15.75" customHeight="1">
      <c r="G85" s="33"/>
      <c r="K85" s="33"/>
    </row>
    <row r="86" ht="15.75" customHeight="1">
      <c r="G86" s="33"/>
      <c r="K86" s="33"/>
    </row>
    <row r="87" ht="15.75" customHeight="1">
      <c r="G87" s="33"/>
      <c r="K87" s="33"/>
    </row>
    <row r="88" ht="15.75" customHeight="1">
      <c r="G88" s="33"/>
      <c r="K88" s="33"/>
    </row>
    <row r="89" ht="15.75" customHeight="1">
      <c r="G89" s="33"/>
      <c r="K89" s="33"/>
    </row>
    <row r="90" ht="15.75" customHeight="1">
      <c r="G90" s="33"/>
      <c r="K90" s="33"/>
    </row>
    <row r="91" ht="15.75" customHeight="1">
      <c r="G91" s="33"/>
      <c r="K91" s="33"/>
    </row>
    <row r="92" ht="15.75" customHeight="1">
      <c r="G92" s="33"/>
      <c r="K92" s="33"/>
    </row>
    <row r="93" ht="15.75" customHeight="1">
      <c r="G93" s="33"/>
      <c r="K93" s="33"/>
    </row>
    <row r="94" ht="15.75" customHeight="1">
      <c r="G94" s="33"/>
      <c r="K94" s="33"/>
    </row>
    <row r="95" ht="15.75" customHeight="1">
      <c r="G95" s="33"/>
      <c r="K95" s="33"/>
    </row>
    <row r="96" ht="15.75" customHeight="1">
      <c r="G96" s="33"/>
      <c r="K96" s="33"/>
    </row>
    <row r="97" ht="15.75" customHeight="1">
      <c r="G97" s="33"/>
      <c r="K97" s="33"/>
    </row>
    <row r="98" ht="15.75" customHeight="1">
      <c r="G98" s="33"/>
      <c r="K98" s="33"/>
    </row>
    <row r="99" ht="15.75" customHeight="1">
      <c r="G99" s="33"/>
      <c r="K99" s="33"/>
    </row>
    <row r="100" ht="15.75" customHeight="1">
      <c r="G100" s="33"/>
      <c r="K100" s="33"/>
    </row>
    <row r="101" ht="15.75" customHeight="1">
      <c r="G101" s="33"/>
      <c r="K101" s="33"/>
    </row>
    <row r="102" ht="15.75" customHeight="1">
      <c r="G102" s="33"/>
      <c r="K102" s="33"/>
    </row>
    <row r="103" ht="15.75" customHeight="1">
      <c r="G103" s="33"/>
      <c r="K103" s="33"/>
    </row>
    <row r="104" ht="15.75" customHeight="1">
      <c r="G104" s="33"/>
      <c r="K104" s="33"/>
    </row>
    <row r="105" ht="15.75" customHeight="1">
      <c r="G105" s="33"/>
      <c r="K105" s="33"/>
    </row>
    <row r="106" ht="15.75" customHeight="1">
      <c r="G106" s="33"/>
      <c r="K106" s="33"/>
    </row>
    <row r="107" ht="15.75" customHeight="1">
      <c r="G107" s="33"/>
      <c r="K107" s="33"/>
    </row>
    <row r="108" ht="15.75" customHeight="1">
      <c r="G108" s="33"/>
      <c r="K108" s="33"/>
    </row>
    <row r="109" ht="15.75" customHeight="1">
      <c r="G109" s="33"/>
      <c r="K109" s="33"/>
    </row>
    <row r="110" ht="15.75" customHeight="1">
      <c r="G110" s="33"/>
      <c r="K110" s="33"/>
    </row>
    <row r="111" ht="15.75" customHeight="1">
      <c r="G111" s="33"/>
      <c r="K111" s="33"/>
    </row>
    <row r="112" ht="15.75" customHeight="1">
      <c r="G112" s="33"/>
      <c r="K112" s="33"/>
    </row>
    <row r="113" ht="15.75" customHeight="1">
      <c r="G113" s="33"/>
      <c r="K113" s="33"/>
    </row>
    <row r="114" ht="15.75" customHeight="1">
      <c r="G114" s="33"/>
      <c r="K114" s="33"/>
    </row>
    <row r="115" ht="15.75" customHeight="1">
      <c r="G115" s="33"/>
      <c r="K115" s="33"/>
    </row>
    <row r="116" ht="15.75" customHeight="1">
      <c r="G116" s="33"/>
      <c r="K116" s="33"/>
    </row>
    <row r="117" ht="15.75" customHeight="1">
      <c r="G117" s="33"/>
      <c r="K117" s="33"/>
    </row>
    <row r="118" ht="15.75" customHeight="1">
      <c r="G118" s="33"/>
      <c r="K118" s="33"/>
    </row>
    <row r="119" ht="15.75" customHeight="1">
      <c r="G119" s="33"/>
      <c r="K119" s="33"/>
    </row>
    <row r="120" ht="15.75" customHeight="1">
      <c r="G120" s="33"/>
      <c r="K120" s="33"/>
    </row>
    <row r="121" ht="15.75" customHeight="1">
      <c r="G121" s="33"/>
      <c r="K121" s="33"/>
    </row>
    <row r="122" ht="15.75" customHeight="1">
      <c r="G122" s="33"/>
      <c r="K122" s="33"/>
    </row>
    <row r="123" ht="15.75" customHeight="1">
      <c r="G123" s="33"/>
      <c r="K123" s="33"/>
    </row>
    <row r="124" ht="15.75" customHeight="1">
      <c r="G124" s="33"/>
      <c r="K124" s="33"/>
    </row>
    <row r="125" ht="15.75" customHeight="1">
      <c r="G125" s="33"/>
      <c r="K125" s="33"/>
    </row>
    <row r="126" ht="15.75" customHeight="1">
      <c r="G126" s="33"/>
      <c r="K126" s="33"/>
    </row>
    <row r="127" ht="15.75" customHeight="1">
      <c r="G127" s="33"/>
      <c r="K127" s="33"/>
    </row>
    <row r="128" ht="15.75" customHeight="1">
      <c r="G128" s="33"/>
      <c r="K128" s="33"/>
    </row>
    <row r="129" ht="15.75" customHeight="1">
      <c r="G129" s="33"/>
      <c r="K129" s="33"/>
    </row>
    <row r="130" ht="15.75" customHeight="1">
      <c r="G130" s="33"/>
      <c r="K130" s="33"/>
    </row>
    <row r="131" ht="15.75" customHeight="1">
      <c r="G131" s="33"/>
      <c r="K131" s="33"/>
    </row>
    <row r="132" ht="15.75" customHeight="1">
      <c r="G132" s="33"/>
      <c r="K132" s="33"/>
    </row>
    <row r="133" ht="15.75" customHeight="1">
      <c r="G133" s="33"/>
      <c r="K133" s="33"/>
    </row>
    <row r="134" ht="15.75" customHeight="1">
      <c r="G134" s="33"/>
      <c r="K134" s="33"/>
    </row>
    <row r="135" ht="15.75" customHeight="1">
      <c r="G135" s="33"/>
      <c r="K135" s="33"/>
    </row>
    <row r="136" ht="15.75" customHeight="1">
      <c r="G136" s="33"/>
      <c r="K136" s="33"/>
    </row>
    <row r="137" ht="15.75" customHeight="1">
      <c r="G137" s="33"/>
      <c r="K137" s="33"/>
    </row>
    <row r="138" ht="15.75" customHeight="1">
      <c r="G138" s="33"/>
      <c r="K138" s="33"/>
    </row>
    <row r="139" ht="15.75" customHeight="1">
      <c r="G139" s="33"/>
      <c r="K139" s="33"/>
    </row>
    <row r="140" ht="15.75" customHeight="1">
      <c r="G140" s="33"/>
      <c r="K140" s="33"/>
    </row>
    <row r="141" ht="15.75" customHeight="1">
      <c r="G141" s="33"/>
      <c r="K141" s="33"/>
    </row>
    <row r="142" ht="15.75" customHeight="1">
      <c r="G142" s="33"/>
      <c r="K142" s="33"/>
    </row>
    <row r="143" ht="15.75" customHeight="1">
      <c r="G143" s="33"/>
      <c r="K143" s="33"/>
    </row>
    <row r="144" ht="15.75" customHeight="1">
      <c r="G144" s="33"/>
      <c r="K144" s="33"/>
    </row>
    <row r="145" ht="15.75" customHeight="1">
      <c r="G145" s="33"/>
      <c r="K145" s="33"/>
    </row>
    <row r="146" ht="15.75" customHeight="1">
      <c r="G146" s="33"/>
      <c r="K146" s="33"/>
    </row>
    <row r="147" ht="15.75" customHeight="1">
      <c r="G147" s="33"/>
      <c r="K147" s="33"/>
    </row>
    <row r="148" ht="15.75" customHeight="1">
      <c r="G148" s="33"/>
      <c r="K148" s="33"/>
    </row>
    <row r="149" ht="15.75" customHeight="1">
      <c r="G149" s="33"/>
      <c r="K149" s="33"/>
    </row>
    <row r="150" ht="15.75" customHeight="1">
      <c r="G150" s="33"/>
      <c r="K150" s="33"/>
    </row>
    <row r="151" ht="15.75" customHeight="1">
      <c r="G151" s="33"/>
      <c r="K151" s="33"/>
    </row>
    <row r="152" ht="15.75" customHeight="1">
      <c r="G152" s="33"/>
      <c r="K152" s="33"/>
    </row>
    <row r="153" ht="15.75" customHeight="1">
      <c r="G153" s="33"/>
      <c r="K153" s="33"/>
    </row>
    <row r="154" ht="15.75" customHeight="1">
      <c r="G154" s="33"/>
      <c r="K154" s="33"/>
    </row>
    <row r="155" ht="15.75" customHeight="1">
      <c r="G155" s="33"/>
      <c r="K155" s="33"/>
    </row>
    <row r="156" ht="15.75" customHeight="1">
      <c r="G156" s="33"/>
      <c r="K156" s="33"/>
    </row>
    <row r="157" ht="15.75" customHeight="1">
      <c r="G157" s="33"/>
      <c r="K157" s="33"/>
    </row>
    <row r="158" ht="15.75" customHeight="1">
      <c r="G158" s="33"/>
      <c r="K158" s="33"/>
    </row>
    <row r="159" ht="15.75" customHeight="1">
      <c r="G159" s="33"/>
      <c r="K159" s="33"/>
    </row>
    <row r="160" ht="15.75" customHeight="1">
      <c r="G160" s="33"/>
      <c r="K160" s="33"/>
    </row>
    <row r="161" ht="15.75" customHeight="1">
      <c r="G161" s="33"/>
      <c r="K161" s="33"/>
    </row>
    <row r="162" ht="15.75" customHeight="1">
      <c r="G162" s="33"/>
      <c r="K162" s="33"/>
    </row>
    <row r="163" ht="15.75" customHeight="1">
      <c r="G163" s="33"/>
      <c r="K163" s="33"/>
    </row>
    <row r="164" ht="15.75" customHeight="1">
      <c r="G164" s="33"/>
      <c r="K164" s="33"/>
    </row>
    <row r="165" ht="15.75" customHeight="1">
      <c r="G165" s="33"/>
      <c r="K165" s="33"/>
    </row>
    <row r="166" ht="15.75" customHeight="1">
      <c r="G166" s="33"/>
      <c r="K166" s="33"/>
    </row>
    <row r="167" ht="15.75" customHeight="1">
      <c r="G167" s="33"/>
      <c r="K167" s="33"/>
    </row>
    <row r="168" ht="15.75" customHeight="1">
      <c r="G168" s="33"/>
      <c r="K168" s="33"/>
    </row>
    <row r="169" ht="15.75" customHeight="1">
      <c r="G169" s="33"/>
      <c r="K169" s="33"/>
    </row>
    <row r="170" ht="15.75" customHeight="1">
      <c r="G170" s="33"/>
      <c r="K170" s="33"/>
    </row>
    <row r="171" ht="15.75" customHeight="1">
      <c r="G171" s="33"/>
      <c r="K171" s="33"/>
    </row>
    <row r="172" ht="15.75" customHeight="1">
      <c r="G172" s="33"/>
      <c r="K172" s="33"/>
    </row>
    <row r="173" ht="15.75" customHeight="1">
      <c r="G173" s="33"/>
      <c r="K173" s="33"/>
    </row>
    <row r="174" ht="15.75" customHeight="1">
      <c r="G174" s="33"/>
      <c r="K174" s="33"/>
    </row>
    <row r="175" ht="15.75" customHeight="1">
      <c r="G175" s="33"/>
      <c r="K175" s="33"/>
    </row>
    <row r="176" ht="15.75" customHeight="1">
      <c r="G176" s="33"/>
      <c r="K176" s="33"/>
    </row>
    <row r="177" ht="15.75" customHeight="1">
      <c r="G177" s="33"/>
      <c r="K177" s="33"/>
    </row>
    <row r="178" ht="15.75" customHeight="1">
      <c r="G178" s="33"/>
      <c r="K178" s="33"/>
    </row>
    <row r="179" ht="15.75" customHeight="1">
      <c r="G179" s="33"/>
      <c r="K179" s="33"/>
    </row>
    <row r="180" ht="15.75" customHeight="1">
      <c r="G180" s="33"/>
      <c r="K180" s="33"/>
    </row>
    <row r="181" ht="15.75" customHeight="1">
      <c r="G181" s="33"/>
      <c r="K181" s="33"/>
    </row>
    <row r="182" ht="15.75" customHeight="1">
      <c r="G182" s="33"/>
      <c r="K182" s="33"/>
    </row>
    <row r="183" ht="15.75" customHeight="1">
      <c r="G183" s="33"/>
      <c r="K183" s="33"/>
    </row>
    <row r="184" ht="15.75" customHeight="1">
      <c r="G184" s="33"/>
      <c r="K184" s="33"/>
    </row>
    <row r="185" ht="15.75" customHeight="1">
      <c r="G185" s="33"/>
      <c r="K185" s="33"/>
    </row>
    <row r="186" ht="15.75" customHeight="1">
      <c r="G186" s="33"/>
      <c r="K186" s="33"/>
    </row>
    <row r="187" ht="15.75" customHeight="1">
      <c r="G187" s="33"/>
      <c r="K187" s="33"/>
    </row>
    <row r="188" ht="15.75" customHeight="1">
      <c r="G188" s="33"/>
      <c r="K188" s="33"/>
    </row>
    <row r="189" ht="15.75" customHeight="1">
      <c r="G189" s="33"/>
      <c r="K189" s="33"/>
    </row>
    <row r="190" ht="15.75" customHeight="1">
      <c r="G190" s="33"/>
      <c r="K190" s="33"/>
    </row>
    <row r="191" ht="15.75" customHeight="1">
      <c r="G191" s="33"/>
      <c r="K191" s="33"/>
    </row>
    <row r="192" ht="15.75" customHeight="1">
      <c r="G192" s="33"/>
      <c r="K192" s="33"/>
    </row>
    <row r="193" ht="15.75" customHeight="1">
      <c r="G193" s="33"/>
      <c r="K193" s="33"/>
    </row>
    <row r="194" ht="15.75" customHeight="1">
      <c r="G194" s="33"/>
      <c r="K194" s="33"/>
    </row>
    <row r="195" ht="15.75" customHeight="1">
      <c r="G195" s="33"/>
      <c r="K195" s="33"/>
    </row>
    <row r="196" ht="15.75" customHeight="1">
      <c r="G196" s="33"/>
      <c r="K196" s="33"/>
    </row>
    <row r="197" ht="15.75" customHeight="1">
      <c r="G197" s="33"/>
      <c r="K197" s="33"/>
    </row>
    <row r="198" ht="15.75" customHeight="1">
      <c r="G198" s="33"/>
      <c r="K198" s="33"/>
    </row>
    <row r="199" ht="15.75" customHeight="1">
      <c r="G199" s="33"/>
      <c r="K199" s="33"/>
    </row>
    <row r="200" ht="15.75" customHeight="1">
      <c r="G200" s="33"/>
      <c r="K200" s="33"/>
    </row>
    <row r="201" ht="15.75" customHeight="1">
      <c r="G201" s="33"/>
      <c r="K201" s="33"/>
    </row>
    <row r="202" ht="15.75" customHeight="1">
      <c r="G202" s="33"/>
      <c r="K202" s="33"/>
    </row>
    <row r="203" ht="15.75" customHeight="1">
      <c r="G203" s="33"/>
      <c r="K203" s="33"/>
    </row>
    <row r="204" ht="15.75" customHeight="1">
      <c r="G204" s="33"/>
      <c r="K204" s="33"/>
    </row>
    <row r="205" ht="15.75" customHeight="1">
      <c r="G205" s="33"/>
      <c r="K205" s="33"/>
    </row>
    <row r="206" ht="15.75" customHeight="1">
      <c r="G206" s="33"/>
      <c r="K206" s="33"/>
    </row>
    <row r="207" ht="15.75" customHeight="1">
      <c r="G207" s="33"/>
      <c r="K207" s="33"/>
    </row>
    <row r="208" ht="15.75" customHeight="1">
      <c r="G208" s="33"/>
      <c r="K208" s="33"/>
    </row>
    <row r="209" ht="15.75" customHeight="1">
      <c r="G209" s="33"/>
      <c r="K209" s="33"/>
    </row>
    <row r="210" ht="15.75" customHeight="1">
      <c r="G210" s="33"/>
      <c r="K210" s="33"/>
    </row>
    <row r="211" ht="15.75" customHeight="1">
      <c r="G211" s="33"/>
      <c r="K211" s="33"/>
    </row>
    <row r="212" ht="15.75" customHeight="1">
      <c r="G212" s="33"/>
      <c r="K212" s="33"/>
    </row>
    <row r="213" ht="15.75" customHeight="1">
      <c r="G213" s="33"/>
      <c r="K213" s="33"/>
    </row>
    <row r="214" ht="15.75" customHeight="1">
      <c r="G214" s="33"/>
      <c r="K214" s="33"/>
    </row>
    <row r="215" ht="15.75" customHeight="1">
      <c r="G215" s="33"/>
      <c r="K215" s="33"/>
    </row>
    <row r="216" ht="15.75" customHeight="1">
      <c r="G216" s="33"/>
      <c r="K216" s="33"/>
    </row>
    <row r="217" ht="15.75" customHeight="1">
      <c r="G217" s="33"/>
      <c r="K217" s="33"/>
    </row>
    <row r="218" ht="15.75" customHeight="1">
      <c r="G218" s="33"/>
      <c r="K218" s="33"/>
    </row>
    <row r="219" ht="15.75" customHeight="1">
      <c r="G219" s="33"/>
      <c r="K219" s="33"/>
    </row>
    <row r="220" ht="15.75" customHeight="1">
      <c r="G220" s="33"/>
      <c r="K220" s="33"/>
    </row>
    <row r="221" ht="15.75" customHeight="1">
      <c r="G221" s="33"/>
      <c r="K221" s="33"/>
    </row>
    <row r="222" ht="15.75" customHeight="1">
      <c r="G222" s="33"/>
      <c r="K222" s="33"/>
    </row>
    <row r="223" ht="15.75" customHeight="1">
      <c r="G223" s="33"/>
      <c r="K223" s="33"/>
    </row>
    <row r="224" ht="15.75" customHeight="1">
      <c r="G224" s="33"/>
      <c r="K224" s="33"/>
    </row>
    <row r="225" ht="15.75" customHeight="1">
      <c r="G225" s="33"/>
      <c r="K225" s="33"/>
    </row>
    <row r="226" ht="15.75" customHeight="1">
      <c r="G226" s="33"/>
      <c r="K226" s="33"/>
    </row>
    <row r="227" ht="15.75" customHeight="1">
      <c r="G227" s="33"/>
      <c r="K227" s="33"/>
    </row>
    <row r="228" ht="15.75" customHeight="1">
      <c r="G228" s="33"/>
      <c r="K228" s="33"/>
    </row>
    <row r="229" ht="15.75" customHeight="1">
      <c r="G229" s="33"/>
      <c r="K229" s="33"/>
    </row>
    <row r="230" ht="15.75" customHeight="1">
      <c r="G230" s="33"/>
      <c r="K230" s="33"/>
    </row>
    <row r="231" ht="15.75" customHeight="1">
      <c r="G231" s="33"/>
      <c r="K231" s="33"/>
    </row>
    <row r="232" ht="15.75" customHeight="1">
      <c r="G232" s="33"/>
      <c r="K232" s="33"/>
    </row>
    <row r="233" ht="15.75" customHeight="1">
      <c r="G233" s="33"/>
      <c r="K233" s="33"/>
    </row>
    <row r="234" ht="15.75" customHeight="1">
      <c r="G234" s="33"/>
      <c r="K234" s="33"/>
    </row>
    <row r="235" ht="15.75" customHeight="1">
      <c r="G235" s="33"/>
      <c r="K235" s="33"/>
    </row>
    <row r="236" ht="15.75" customHeight="1">
      <c r="G236" s="33"/>
      <c r="K236" s="33"/>
    </row>
    <row r="237" ht="15.75" customHeight="1">
      <c r="G237" s="33"/>
      <c r="K237" s="33"/>
    </row>
    <row r="238" ht="15.75" customHeight="1">
      <c r="G238" s="33"/>
      <c r="K238" s="33"/>
    </row>
    <row r="239" ht="15.75" customHeight="1">
      <c r="G239" s="33"/>
      <c r="K239" s="33"/>
    </row>
    <row r="240" ht="15.75" customHeight="1">
      <c r="G240" s="33"/>
      <c r="K240" s="33"/>
    </row>
    <row r="241" ht="15.75" customHeight="1">
      <c r="G241" s="33"/>
      <c r="K241" s="33"/>
    </row>
    <row r="242" ht="15.75" customHeight="1">
      <c r="G242" s="33"/>
      <c r="K242" s="33"/>
    </row>
    <row r="243" ht="15.75" customHeight="1">
      <c r="G243" s="33"/>
      <c r="K243" s="33"/>
    </row>
    <row r="244" ht="15.75" customHeight="1">
      <c r="G244" s="33"/>
      <c r="K244" s="33"/>
    </row>
    <row r="245" ht="15.75" customHeight="1">
      <c r="G245" s="33"/>
      <c r="K245" s="33"/>
    </row>
    <row r="246" ht="15.75" customHeight="1">
      <c r="G246" s="33"/>
      <c r="K246" s="33"/>
    </row>
    <row r="247" ht="15.75" customHeight="1">
      <c r="G247" s="33"/>
      <c r="K247" s="33"/>
    </row>
    <row r="248" ht="15.75" customHeight="1">
      <c r="G248" s="33"/>
      <c r="K248" s="33"/>
    </row>
    <row r="249" ht="15.75" customHeight="1">
      <c r="G249" s="33"/>
      <c r="K249" s="33"/>
    </row>
    <row r="250" ht="15.75" customHeight="1">
      <c r="G250" s="33"/>
      <c r="K250" s="33"/>
    </row>
    <row r="251" ht="15.75" customHeight="1">
      <c r="G251" s="33"/>
      <c r="K251" s="33"/>
    </row>
    <row r="252" ht="15.75" customHeight="1">
      <c r="G252" s="33"/>
      <c r="K252" s="33"/>
    </row>
    <row r="253" ht="15.75" customHeight="1">
      <c r="G253" s="33"/>
      <c r="K253" s="33"/>
    </row>
    <row r="254" ht="15.75" customHeight="1">
      <c r="G254" s="33"/>
      <c r="K254" s="33"/>
    </row>
    <row r="255" ht="15.75" customHeight="1">
      <c r="G255" s="33"/>
      <c r="K255" s="33"/>
    </row>
    <row r="256" ht="15.75" customHeight="1">
      <c r="G256" s="33"/>
      <c r="K256" s="33"/>
    </row>
    <row r="257" ht="15.75" customHeight="1">
      <c r="G257" s="33"/>
      <c r="K257" s="33"/>
    </row>
    <row r="258" ht="15.75" customHeight="1">
      <c r="G258" s="33"/>
      <c r="K258" s="33"/>
    </row>
    <row r="259" ht="15.75" customHeight="1">
      <c r="G259" s="33"/>
      <c r="K259" s="33"/>
    </row>
    <row r="260" ht="15.75" customHeight="1">
      <c r="G260" s="33"/>
      <c r="K260" s="33"/>
    </row>
    <row r="261" ht="15.75" customHeight="1">
      <c r="G261" s="33"/>
      <c r="K261" s="33"/>
    </row>
    <row r="262" ht="15.75" customHeight="1">
      <c r="G262" s="33"/>
      <c r="K262" s="33"/>
    </row>
    <row r="263" ht="15.75" customHeight="1">
      <c r="G263" s="33"/>
      <c r="K263" s="33"/>
    </row>
    <row r="264" ht="15.75" customHeight="1">
      <c r="G264" s="33"/>
      <c r="K264" s="33"/>
    </row>
    <row r="265" ht="15.75" customHeight="1">
      <c r="G265" s="33"/>
      <c r="K265" s="33"/>
    </row>
    <row r="266" ht="15.75" customHeight="1">
      <c r="G266" s="33"/>
      <c r="K266" s="33"/>
    </row>
    <row r="267" ht="15.75" customHeight="1">
      <c r="G267" s="33"/>
      <c r="K267" s="33"/>
    </row>
    <row r="268" ht="15.75" customHeight="1">
      <c r="G268" s="33"/>
      <c r="K268" s="33"/>
    </row>
    <row r="269" ht="15.75" customHeight="1">
      <c r="G269" s="33"/>
      <c r="K269" s="33"/>
    </row>
    <row r="270" ht="15.75" customHeight="1">
      <c r="G270" s="33"/>
      <c r="K270" s="33"/>
    </row>
    <row r="271" ht="15.75" customHeight="1">
      <c r="G271" s="33"/>
      <c r="K271" s="33"/>
    </row>
    <row r="272" ht="15.75" customHeight="1">
      <c r="G272" s="33"/>
      <c r="K272" s="33"/>
    </row>
    <row r="273" ht="15.75" customHeight="1">
      <c r="G273" s="33"/>
      <c r="K273" s="33"/>
    </row>
    <row r="274" ht="15.75" customHeight="1">
      <c r="G274" s="33"/>
      <c r="K274" s="33"/>
    </row>
    <row r="275" ht="15.75" customHeight="1">
      <c r="G275" s="33"/>
      <c r="K275" s="33"/>
    </row>
    <row r="276" ht="15.75" customHeight="1">
      <c r="G276" s="33"/>
      <c r="K276" s="33"/>
    </row>
    <row r="277" ht="15.75" customHeight="1">
      <c r="G277" s="33"/>
      <c r="K277" s="33"/>
    </row>
    <row r="278" ht="15.75" customHeight="1">
      <c r="G278" s="33"/>
      <c r="K278" s="33"/>
    </row>
    <row r="279" ht="15.75" customHeight="1">
      <c r="G279" s="33"/>
      <c r="K279" s="33"/>
    </row>
    <row r="280" ht="15.75" customHeight="1">
      <c r="G280" s="33"/>
      <c r="K280" s="33"/>
    </row>
    <row r="281" ht="15.75" customHeight="1">
      <c r="G281" s="33"/>
      <c r="K281" s="33"/>
    </row>
    <row r="282" ht="15.75" customHeight="1">
      <c r="G282" s="33"/>
      <c r="K282" s="33"/>
    </row>
    <row r="283" ht="15.75" customHeight="1">
      <c r="G283" s="33"/>
      <c r="K283" s="33"/>
    </row>
    <row r="284" ht="15.75" customHeight="1">
      <c r="G284" s="33"/>
      <c r="K284" s="33"/>
    </row>
    <row r="285" ht="15.75" customHeight="1">
      <c r="G285" s="33"/>
      <c r="K285" s="33"/>
    </row>
    <row r="286" ht="15.75" customHeight="1">
      <c r="G286" s="33"/>
      <c r="K286" s="33"/>
    </row>
    <row r="287" ht="15.75" customHeight="1">
      <c r="G287" s="33"/>
      <c r="K287" s="33"/>
    </row>
    <row r="288" ht="15.75" customHeight="1">
      <c r="G288" s="33"/>
      <c r="K288" s="33"/>
    </row>
    <row r="289" ht="15.75" customHeight="1">
      <c r="G289" s="33"/>
      <c r="K289" s="33"/>
    </row>
    <row r="290" ht="15.75" customHeight="1">
      <c r="G290" s="33"/>
      <c r="K290" s="33"/>
    </row>
    <row r="291" ht="15.75" customHeight="1">
      <c r="G291" s="33"/>
      <c r="K291" s="33"/>
    </row>
    <row r="292" ht="15.75" customHeight="1">
      <c r="G292" s="33"/>
      <c r="K292" s="33"/>
    </row>
    <row r="293" ht="15.75" customHeight="1">
      <c r="G293" s="33"/>
      <c r="K293" s="33"/>
    </row>
    <row r="294" ht="15.75" customHeight="1">
      <c r="G294" s="33"/>
      <c r="K294" s="33"/>
    </row>
    <row r="295" ht="15.75" customHeight="1">
      <c r="G295" s="33"/>
      <c r="K295" s="33"/>
    </row>
    <row r="296" ht="15.75" customHeight="1">
      <c r="G296" s="33"/>
      <c r="K296" s="33"/>
    </row>
    <row r="297" ht="15.75" customHeight="1">
      <c r="G297" s="33"/>
      <c r="K297" s="33"/>
    </row>
    <row r="298" ht="15.75" customHeight="1">
      <c r="G298" s="33"/>
      <c r="K298" s="33"/>
    </row>
    <row r="299" ht="15.75" customHeight="1">
      <c r="G299" s="33"/>
      <c r="K299" s="33"/>
    </row>
    <row r="300" ht="15.75" customHeight="1">
      <c r="G300" s="33"/>
      <c r="K300" s="33"/>
    </row>
    <row r="301" ht="15.75" customHeight="1">
      <c r="G301" s="33"/>
      <c r="K301" s="33"/>
    </row>
    <row r="302" ht="15.75" customHeight="1">
      <c r="G302" s="33"/>
      <c r="K302" s="33"/>
    </row>
    <row r="303" ht="15.75" customHeight="1">
      <c r="G303" s="33"/>
      <c r="K303" s="33"/>
    </row>
    <row r="304" ht="15.75" customHeight="1">
      <c r="G304" s="33"/>
      <c r="K304" s="33"/>
    </row>
    <row r="305" ht="15.75" customHeight="1">
      <c r="G305" s="33"/>
      <c r="K305" s="33"/>
    </row>
    <row r="306" ht="15.75" customHeight="1">
      <c r="G306" s="33"/>
      <c r="K306" s="33"/>
    </row>
    <row r="307" ht="15.75" customHeight="1">
      <c r="G307" s="33"/>
      <c r="K307" s="33"/>
    </row>
    <row r="308" ht="15.75" customHeight="1">
      <c r="G308" s="33"/>
      <c r="K308" s="33"/>
    </row>
    <row r="309" ht="15.75" customHeight="1">
      <c r="G309" s="33"/>
      <c r="K309" s="33"/>
    </row>
    <row r="310" ht="15.75" customHeight="1">
      <c r="G310" s="33"/>
      <c r="K310" s="33"/>
    </row>
    <row r="311" ht="15.75" customHeight="1">
      <c r="G311" s="33"/>
      <c r="K311" s="33"/>
    </row>
    <row r="312" ht="15.75" customHeight="1">
      <c r="G312" s="33"/>
      <c r="K312" s="33"/>
    </row>
    <row r="313" ht="15.75" customHeight="1">
      <c r="G313" s="33"/>
      <c r="K313" s="33"/>
    </row>
    <row r="314" ht="15.75" customHeight="1">
      <c r="G314" s="33"/>
      <c r="K314" s="33"/>
    </row>
    <row r="315" ht="15.75" customHeight="1">
      <c r="G315" s="33"/>
      <c r="K315" s="33"/>
    </row>
    <row r="316" ht="15.75" customHeight="1">
      <c r="G316" s="33"/>
      <c r="K316" s="33"/>
    </row>
    <row r="317" ht="15.75" customHeight="1">
      <c r="G317" s="33"/>
      <c r="K317" s="33"/>
    </row>
    <row r="318" ht="15.75" customHeight="1">
      <c r="G318" s="33"/>
      <c r="K318" s="33"/>
    </row>
    <row r="319" ht="15.75" customHeight="1">
      <c r="G319" s="33"/>
      <c r="K319" s="33"/>
    </row>
    <row r="320" ht="15.75" customHeight="1">
      <c r="G320" s="33"/>
      <c r="K320" s="33"/>
    </row>
    <row r="321" ht="15.75" customHeight="1">
      <c r="G321" s="33"/>
      <c r="K321" s="33"/>
    </row>
    <row r="322" ht="15.75" customHeight="1">
      <c r="G322" s="33"/>
      <c r="K322" s="33"/>
    </row>
    <row r="323" ht="15.75" customHeight="1">
      <c r="G323" s="33"/>
      <c r="K323" s="33"/>
    </row>
    <row r="324" ht="15.75" customHeight="1">
      <c r="G324" s="33"/>
      <c r="K324" s="33"/>
    </row>
    <row r="325" ht="15.75" customHeight="1">
      <c r="G325" s="33"/>
      <c r="K325" s="33"/>
    </row>
    <row r="326" ht="15.75" customHeight="1">
      <c r="G326" s="33"/>
      <c r="K326" s="33"/>
    </row>
    <row r="327" ht="15.75" customHeight="1">
      <c r="G327" s="33"/>
      <c r="K327" s="33"/>
    </row>
    <row r="328" ht="15.75" customHeight="1">
      <c r="G328" s="33"/>
      <c r="K328" s="33"/>
    </row>
    <row r="329" ht="15.75" customHeight="1">
      <c r="G329" s="33"/>
      <c r="K329" s="33"/>
    </row>
    <row r="330" ht="15.75" customHeight="1">
      <c r="G330" s="33"/>
      <c r="K330" s="33"/>
    </row>
    <row r="331" ht="15.75" customHeight="1">
      <c r="G331" s="33"/>
      <c r="K331" s="33"/>
    </row>
    <row r="332" ht="15.75" customHeight="1">
      <c r="G332" s="33"/>
      <c r="K332" s="33"/>
    </row>
    <row r="333" ht="15.75" customHeight="1">
      <c r="G333" s="33"/>
      <c r="K333" s="33"/>
    </row>
    <row r="334" ht="15.75" customHeight="1">
      <c r="G334" s="33"/>
      <c r="K334" s="33"/>
    </row>
    <row r="335" ht="15.75" customHeight="1">
      <c r="G335" s="33"/>
      <c r="K335" s="33"/>
    </row>
    <row r="336" ht="15.75" customHeight="1">
      <c r="G336" s="33"/>
      <c r="K336" s="33"/>
    </row>
    <row r="337" ht="15.75" customHeight="1">
      <c r="G337" s="33"/>
      <c r="K337" s="33"/>
    </row>
    <row r="338" ht="15.75" customHeight="1">
      <c r="G338" s="33"/>
      <c r="K338" s="33"/>
    </row>
    <row r="339" ht="15.75" customHeight="1">
      <c r="G339" s="33"/>
      <c r="K339" s="33"/>
    </row>
    <row r="340" ht="15.75" customHeight="1">
      <c r="G340" s="33"/>
      <c r="K340" s="33"/>
    </row>
    <row r="341" ht="15.75" customHeight="1">
      <c r="G341" s="33"/>
      <c r="K341" s="33"/>
    </row>
    <row r="342" ht="15.75" customHeight="1">
      <c r="G342" s="33"/>
      <c r="K342" s="33"/>
    </row>
    <row r="343" ht="15.75" customHeight="1">
      <c r="G343" s="33"/>
      <c r="K343" s="33"/>
    </row>
    <row r="344" ht="15.75" customHeight="1">
      <c r="G344" s="33"/>
      <c r="K344" s="33"/>
    </row>
    <row r="345" ht="15.75" customHeight="1">
      <c r="G345" s="33"/>
      <c r="K345" s="33"/>
    </row>
    <row r="346" ht="15.75" customHeight="1">
      <c r="G346" s="33"/>
      <c r="K346" s="33"/>
    </row>
    <row r="347" ht="15.75" customHeight="1">
      <c r="G347" s="33"/>
      <c r="K347" s="33"/>
    </row>
    <row r="348" ht="15.75" customHeight="1">
      <c r="G348" s="33"/>
      <c r="K348" s="33"/>
    </row>
    <row r="349" ht="15.75" customHeight="1">
      <c r="G349" s="33"/>
      <c r="K349" s="33"/>
    </row>
    <row r="350" ht="15.75" customHeight="1">
      <c r="G350" s="33"/>
      <c r="K350" s="33"/>
    </row>
    <row r="351" ht="15.75" customHeight="1">
      <c r="G351" s="33"/>
      <c r="K351" s="33"/>
    </row>
    <row r="352" ht="15.75" customHeight="1">
      <c r="G352" s="33"/>
      <c r="K352" s="33"/>
    </row>
    <row r="353" ht="15.75" customHeight="1">
      <c r="G353" s="33"/>
      <c r="K353" s="33"/>
    </row>
    <row r="354" ht="15.75" customHeight="1">
      <c r="G354" s="33"/>
      <c r="K354" s="33"/>
    </row>
    <row r="355" ht="15.75" customHeight="1">
      <c r="G355" s="33"/>
      <c r="K355" s="33"/>
    </row>
    <row r="356" ht="15.75" customHeight="1">
      <c r="G356" s="33"/>
      <c r="K356" s="33"/>
    </row>
    <row r="357" ht="15.75" customHeight="1">
      <c r="G357" s="33"/>
      <c r="K357" s="33"/>
    </row>
    <row r="358" ht="15.75" customHeight="1">
      <c r="G358" s="33"/>
      <c r="K358" s="33"/>
    </row>
    <row r="359" ht="15.75" customHeight="1">
      <c r="G359" s="33"/>
      <c r="K359" s="33"/>
    </row>
    <row r="360" ht="15.75" customHeight="1">
      <c r="G360" s="33"/>
      <c r="K360" s="33"/>
    </row>
    <row r="361" ht="15.75" customHeight="1">
      <c r="G361" s="33"/>
      <c r="K361" s="33"/>
    </row>
    <row r="362" ht="15.75" customHeight="1">
      <c r="G362" s="33"/>
      <c r="K362" s="33"/>
    </row>
    <row r="363" ht="15.75" customHeight="1">
      <c r="G363" s="33"/>
      <c r="K363" s="33"/>
    </row>
    <row r="364" ht="15.75" customHeight="1">
      <c r="G364" s="33"/>
      <c r="K364" s="33"/>
    </row>
    <row r="365" ht="15.75" customHeight="1">
      <c r="G365" s="33"/>
      <c r="K365" s="33"/>
    </row>
    <row r="366" ht="15.75" customHeight="1">
      <c r="G366" s="33"/>
      <c r="K366" s="33"/>
    </row>
    <row r="367" ht="15.75" customHeight="1">
      <c r="G367" s="33"/>
      <c r="K367" s="33"/>
    </row>
    <row r="368" ht="15.75" customHeight="1">
      <c r="G368" s="33"/>
      <c r="K368" s="33"/>
    </row>
    <row r="369" ht="15.75" customHeight="1">
      <c r="G369" s="33"/>
      <c r="K369" s="33"/>
    </row>
    <row r="370" ht="15.75" customHeight="1">
      <c r="G370" s="33"/>
      <c r="K370" s="33"/>
    </row>
    <row r="371" ht="15.75" customHeight="1">
      <c r="G371" s="33"/>
      <c r="K371" s="33"/>
    </row>
    <row r="372" ht="15.75" customHeight="1">
      <c r="G372" s="33"/>
      <c r="K372" s="33"/>
    </row>
    <row r="373" ht="15.75" customHeight="1">
      <c r="G373" s="33"/>
      <c r="K373" s="33"/>
    </row>
    <row r="374" ht="15.75" customHeight="1">
      <c r="G374" s="33"/>
      <c r="K374" s="33"/>
    </row>
    <row r="375" ht="15.75" customHeight="1">
      <c r="G375" s="33"/>
      <c r="K375" s="33"/>
    </row>
    <row r="376" ht="15.75" customHeight="1">
      <c r="G376" s="33"/>
      <c r="K376" s="33"/>
    </row>
    <row r="377" ht="15.75" customHeight="1">
      <c r="G377" s="33"/>
      <c r="K377" s="33"/>
    </row>
    <row r="378" ht="15.75" customHeight="1">
      <c r="G378" s="33"/>
      <c r="K378" s="33"/>
    </row>
    <row r="379" ht="15.75" customHeight="1">
      <c r="G379" s="33"/>
      <c r="K379" s="33"/>
    </row>
    <row r="380" ht="15.75" customHeight="1">
      <c r="G380" s="33"/>
      <c r="K380" s="33"/>
    </row>
    <row r="381" ht="15.75" customHeight="1">
      <c r="G381" s="33"/>
      <c r="K381" s="33"/>
    </row>
    <row r="382" ht="15.75" customHeight="1">
      <c r="G382" s="33"/>
      <c r="K382" s="33"/>
    </row>
    <row r="383" ht="15.75" customHeight="1">
      <c r="G383" s="33"/>
      <c r="K383" s="33"/>
    </row>
    <row r="384" ht="15.75" customHeight="1">
      <c r="G384" s="33"/>
      <c r="K384" s="33"/>
    </row>
    <row r="385" ht="15.75" customHeight="1">
      <c r="G385" s="33"/>
      <c r="K385" s="33"/>
    </row>
    <row r="386" ht="15.75" customHeight="1">
      <c r="G386" s="33"/>
      <c r="K386" s="33"/>
    </row>
    <row r="387" ht="15.75" customHeight="1">
      <c r="G387" s="33"/>
      <c r="K387" s="33"/>
    </row>
    <row r="388" ht="15.75" customHeight="1">
      <c r="G388" s="33"/>
      <c r="K388" s="33"/>
    </row>
    <row r="389" ht="15.75" customHeight="1">
      <c r="G389" s="33"/>
      <c r="K389" s="33"/>
    </row>
    <row r="390" ht="15.75" customHeight="1">
      <c r="G390" s="33"/>
      <c r="K390" s="33"/>
    </row>
    <row r="391" ht="15.75" customHeight="1">
      <c r="G391" s="33"/>
      <c r="K391" s="33"/>
    </row>
    <row r="392" ht="15.75" customHeight="1">
      <c r="G392" s="33"/>
      <c r="K392" s="33"/>
    </row>
    <row r="393" ht="15.75" customHeight="1">
      <c r="G393" s="33"/>
      <c r="K393" s="33"/>
    </row>
    <row r="394" ht="15.75" customHeight="1">
      <c r="G394" s="33"/>
      <c r="K394" s="33"/>
    </row>
    <row r="395" ht="15.75" customHeight="1">
      <c r="G395" s="33"/>
      <c r="K395" s="33"/>
    </row>
    <row r="396" ht="15.75" customHeight="1">
      <c r="G396" s="33"/>
      <c r="K396" s="33"/>
    </row>
    <row r="397" ht="15.75" customHeight="1">
      <c r="G397" s="33"/>
      <c r="K397" s="33"/>
    </row>
    <row r="398" ht="15.75" customHeight="1">
      <c r="G398" s="33"/>
      <c r="K398" s="33"/>
    </row>
    <row r="399" ht="15.75" customHeight="1">
      <c r="G399" s="33"/>
      <c r="K399" s="33"/>
    </row>
    <row r="400" ht="15.75" customHeight="1">
      <c r="G400" s="33"/>
      <c r="K400" s="33"/>
    </row>
    <row r="401" ht="15.75" customHeight="1">
      <c r="G401" s="33"/>
      <c r="K401" s="33"/>
    </row>
    <row r="402" ht="15.75" customHeight="1">
      <c r="G402" s="33"/>
      <c r="K402" s="33"/>
    </row>
    <row r="403" ht="15.75" customHeight="1">
      <c r="G403" s="33"/>
      <c r="K403" s="33"/>
    </row>
    <row r="404" ht="15.75" customHeight="1">
      <c r="G404" s="33"/>
      <c r="K404" s="33"/>
    </row>
    <row r="405" ht="15.75" customHeight="1">
      <c r="G405" s="33"/>
      <c r="K405" s="33"/>
    </row>
    <row r="406" ht="15.75" customHeight="1">
      <c r="G406" s="33"/>
      <c r="K406" s="33"/>
    </row>
    <row r="407" ht="15.75" customHeight="1">
      <c r="G407" s="33"/>
      <c r="K407" s="33"/>
    </row>
    <row r="408" ht="15.75" customHeight="1">
      <c r="G408" s="33"/>
      <c r="K408" s="33"/>
    </row>
    <row r="409" ht="15.75" customHeight="1">
      <c r="G409" s="33"/>
      <c r="K409" s="33"/>
    </row>
    <row r="410" ht="15.75" customHeight="1">
      <c r="G410" s="33"/>
      <c r="K410" s="33"/>
    </row>
    <row r="411" ht="15.75" customHeight="1">
      <c r="G411" s="33"/>
      <c r="K411" s="33"/>
    </row>
    <row r="412" ht="15.75" customHeight="1">
      <c r="G412" s="33"/>
      <c r="K412" s="33"/>
    </row>
    <row r="413" ht="15.75" customHeight="1">
      <c r="G413" s="33"/>
      <c r="K413" s="33"/>
    </row>
    <row r="414" ht="15.75" customHeight="1">
      <c r="G414" s="33"/>
      <c r="K414" s="33"/>
    </row>
    <row r="415" ht="15.75" customHeight="1">
      <c r="G415" s="33"/>
      <c r="K415" s="33"/>
    </row>
    <row r="416" ht="15.75" customHeight="1">
      <c r="G416" s="33"/>
      <c r="K416" s="33"/>
    </row>
    <row r="417" ht="15.75" customHeight="1">
      <c r="G417" s="33"/>
      <c r="K417" s="33"/>
    </row>
    <row r="418" ht="15.75" customHeight="1">
      <c r="G418" s="33"/>
      <c r="K418" s="33"/>
    </row>
    <row r="419" ht="15.75" customHeight="1">
      <c r="G419" s="33"/>
      <c r="K419" s="33"/>
    </row>
    <row r="420" ht="15.75" customHeight="1">
      <c r="G420" s="33"/>
      <c r="K420" s="33"/>
    </row>
    <row r="421" ht="15.75" customHeight="1">
      <c r="G421" s="33"/>
      <c r="K421" s="33"/>
    </row>
    <row r="422" ht="15.75" customHeight="1">
      <c r="G422" s="33"/>
      <c r="K422" s="33"/>
    </row>
    <row r="423" ht="15.75" customHeight="1">
      <c r="G423" s="33"/>
      <c r="K423" s="33"/>
    </row>
    <row r="424" ht="15.75" customHeight="1">
      <c r="G424" s="33"/>
      <c r="K424" s="33"/>
    </row>
    <row r="425" ht="15.75" customHeight="1">
      <c r="G425" s="33"/>
      <c r="K425" s="33"/>
    </row>
    <row r="426" ht="15.75" customHeight="1">
      <c r="G426" s="33"/>
      <c r="K426" s="33"/>
    </row>
    <row r="427" ht="15.75" customHeight="1">
      <c r="G427" s="33"/>
      <c r="K427" s="33"/>
    </row>
    <row r="428" ht="15.75" customHeight="1">
      <c r="G428" s="33"/>
      <c r="K428" s="33"/>
    </row>
    <row r="429" ht="15.75" customHeight="1">
      <c r="G429" s="33"/>
      <c r="K429" s="33"/>
    </row>
    <row r="430" ht="15.75" customHeight="1">
      <c r="G430" s="33"/>
      <c r="K430" s="33"/>
    </row>
    <row r="431" ht="15.75" customHeight="1">
      <c r="G431" s="33"/>
      <c r="K431" s="33"/>
    </row>
    <row r="432" ht="15.75" customHeight="1">
      <c r="G432" s="33"/>
      <c r="K432" s="33"/>
    </row>
    <row r="433" ht="15.75" customHeight="1">
      <c r="G433" s="33"/>
      <c r="K433" s="33"/>
    </row>
    <row r="434" ht="15.75" customHeight="1">
      <c r="G434" s="33"/>
      <c r="K434" s="33"/>
    </row>
    <row r="435" ht="15.75" customHeight="1">
      <c r="G435" s="33"/>
      <c r="K435" s="33"/>
    </row>
    <row r="436" ht="15.75" customHeight="1">
      <c r="G436" s="33"/>
      <c r="K436" s="33"/>
    </row>
    <row r="437" ht="15.75" customHeight="1">
      <c r="G437" s="33"/>
      <c r="K437" s="33"/>
    </row>
    <row r="438" ht="15.75" customHeight="1">
      <c r="G438" s="33"/>
      <c r="K438" s="33"/>
    </row>
    <row r="439" ht="15.75" customHeight="1">
      <c r="G439" s="33"/>
      <c r="K439" s="33"/>
    </row>
    <row r="440" ht="15.75" customHeight="1">
      <c r="G440" s="33"/>
      <c r="K440" s="33"/>
    </row>
    <row r="441" ht="15.75" customHeight="1">
      <c r="G441" s="33"/>
      <c r="K441" s="33"/>
    </row>
    <row r="442" ht="15.75" customHeight="1">
      <c r="G442" s="33"/>
      <c r="K442" s="33"/>
    </row>
    <row r="443" ht="15.75" customHeight="1">
      <c r="G443" s="33"/>
      <c r="K443" s="33"/>
    </row>
    <row r="444" ht="15.75" customHeight="1">
      <c r="G444" s="33"/>
      <c r="K444" s="33"/>
    </row>
    <row r="445" ht="15.75" customHeight="1">
      <c r="G445" s="33"/>
      <c r="K445" s="33"/>
    </row>
    <row r="446" ht="15.75" customHeight="1">
      <c r="G446" s="33"/>
      <c r="K446" s="33"/>
    </row>
    <row r="447" ht="15.75" customHeight="1">
      <c r="G447" s="33"/>
      <c r="K447" s="33"/>
    </row>
    <row r="448" ht="15.75" customHeight="1">
      <c r="G448" s="33"/>
      <c r="K448" s="33"/>
    </row>
    <row r="449" ht="15.75" customHeight="1">
      <c r="G449" s="33"/>
      <c r="K449" s="33"/>
    </row>
    <row r="450" ht="15.75" customHeight="1">
      <c r="G450" s="33"/>
      <c r="K450" s="33"/>
    </row>
    <row r="451" ht="15.75" customHeight="1">
      <c r="G451" s="33"/>
      <c r="K451" s="33"/>
    </row>
    <row r="452" ht="15.75" customHeight="1">
      <c r="G452" s="33"/>
      <c r="K452" s="33"/>
    </row>
    <row r="453" ht="15.75" customHeight="1">
      <c r="G453" s="33"/>
      <c r="K453" s="33"/>
    </row>
    <row r="454" ht="15.75" customHeight="1">
      <c r="G454" s="33"/>
      <c r="K454" s="33"/>
    </row>
    <row r="455" ht="15.75" customHeight="1">
      <c r="G455" s="33"/>
      <c r="K455" s="33"/>
    </row>
    <row r="456" ht="15.75" customHeight="1">
      <c r="G456" s="33"/>
      <c r="K456" s="33"/>
    </row>
    <row r="457" ht="15.75" customHeight="1">
      <c r="G457" s="33"/>
      <c r="K457" s="33"/>
    </row>
    <row r="458" ht="15.75" customHeight="1">
      <c r="G458" s="33"/>
      <c r="K458" s="33"/>
    </row>
    <row r="459" ht="15.75" customHeight="1">
      <c r="G459" s="33"/>
      <c r="K459" s="33"/>
    </row>
    <row r="460" ht="15.75" customHeight="1">
      <c r="G460" s="33"/>
      <c r="K460" s="33"/>
    </row>
    <row r="461" ht="15.75" customHeight="1">
      <c r="G461" s="33"/>
      <c r="K461" s="33"/>
    </row>
    <row r="462" ht="15.75" customHeight="1">
      <c r="G462" s="33"/>
      <c r="K462" s="33"/>
    </row>
    <row r="463" ht="15.75" customHeight="1">
      <c r="G463" s="33"/>
      <c r="K463" s="33"/>
    </row>
    <row r="464" ht="15.75" customHeight="1">
      <c r="G464" s="33"/>
      <c r="K464" s="33"/>
    </row>
    <row r="465" ht="15.75" customHeight="1">
      <c r="G465" s="33"/>
      <c r="K465" s="33"/>
    </row>
    <row r="466" ht="15.75" customHeight="1">
      <c r="G466" s="33"/>
      <c r="K466" s="33"/>
    </row>
    <row r="467" ht="15.75" customHeight="1">
      <c r="G467" s="33"/>
      <c r="K467" s="33"/>
    </row>
    <row r="468" ht="15.75" customHeight="1">
      <c r="G468" s="33"/>
      <c r="K468" s="33"/>
    </row>
    <row r="469" ht="15.75" customHeight="1">
      <c r="G469" s="33"/>
      <c r="K469" s="33"/>
    </row>
    <row r="470" ht="15.75" customHeight="1">
      <c r="G470" s="33"/>
      <c r="K470" s="33"/>
    </row>
    <row r="471" ht="15.75" customHeight="1">
      <c r="G471" s="33"/>
      <c r="K471" s="33"/>
    </row>
    <row r="472" ht="15.75" customHeight="1">
      <c r="G472" s="33"/>
      <c r="K472" s="33"/>
    </row>
    <row r="473" ht="15.75" customHeight="1">
      <c r="G473" s="33"/>
      <c r="K473" s="33"/>
    </row>
    <row r="474" ht="15.75" customHeight="1">
      <c r="G474" s="33"/>
      <c r="K474" s="33"/>
    </row>
    <row r="475" ht="15.75" customHeight="1">
      <c r="G475" s="33"/>
      <c r="K475" s="33"/>
    </row>
    <row r="476" ht="15.75" customHeight="1">
      <c r="G476" s="33"/>
      <c r="K476" s="33"/>
    </row>
    <row r="477" ht="15.75" customHeight="1">
      <c r="G477" s="33"/>
      <c r="K477" s="33"/>
    </row>
    <row r="478" ht="15.75" customHeight="1">
      <c r="G478" s="33"/>
      <c r="K478" s="33"/>
    </row>
    <row r="479" ht="15.75" customHeight="1">
      <c r="G479" s="33"/>
      <c r="K479" s="33"/>
    </row>
    <row r="480" ht="15.75" customHeight="1">
      <c r="G480" s="33"/>
      <c r="K480" s="33"/>
    </row>
    <row r="481" ht="15.75" customHeight="1">
      <c r="G481" s="33"/>
      <c r="K481" s="33"/>
    </row>
    <row r="482" ht="15.75" customHeight="1">
      <c r="G482" s="33"/>
      <c r="K482" s="33"/>
    </row>
    <row r="483" ht="15.75" customHeight="1">
      <c r="G483" s="33"/>
      <c r="K483" s="33"/>
    </row>
    <row r="484" ht="15.75" customHeight="1">
      <c r="G484" s="33"/>
      <c r="K484" s="33"/>
    </row>
    <row r="485" ht="15.75" customHeight="1">
      <c r="G485" s="33"/>
      <c r="K485" s="33"/>
    </row>
    <row r="486" ht="15.75" customHeight="1">
      <c r="G486" s="33"/>
      <c r="K486" s="33"/>
    </row>
    <row r="487" ht="15.75" customHeight="1">
      <c r="G487" s="33"/>
      <c r="K487" s="33"/>
    </row>
    <row r="488" ht="15.75" customHeight="1">
      <c r="G488" s="33"/>
      <c r="K488" s="33"/>
    </row>
    <row r="489" ht="15.75" customHeight="1">
      <c r="G489" s="33"/>
      <c r="K489" s="33"/>
    </row>
    <row r="490" ht="15.75" customHeight="1">
      <c r="G490" s="33"/>
      <c r="K490" s="33"/>
    </row>
    <row r="491" ht="15.75" customHeight="1">
      <c r="G491" s="33"/>
      <c r="K491" s="33"/>
    </row>
    <row r="492" ht="15.75" customHeight="1">
      <c r="G492" s="33"/>
      <c r="K492" s="33"/>
    </row>
    <row r="493" ht="15.75" customHeight="1">
      <c r="G493" s="33"/>
      <c r="K493" s="33"/>
    </row>
    <row r="494" ht="15.75" customHeight="1">
      <c r="G494" s="33"/>
      <c r="K494" s="33"/>
    </row>
    <row r="495" ht="15.75" customHeight="1">
      <c r="G495" s="33"/>
      <c r="K495" s="33"/>
    </row>
    <row r="496" ht="15.75" customHeight="1">
      <c r="G496" s="33"/>
      <c r="K496" s="33"/>
    </row>
    <row r="497" ht="15.75" customHeight="1">
      <c r="G497" s="33"/>
      <c r="K497" s="33"/>
    </row>
    <row r="498" ht="15.75" customHeight="1">
      <c r="G498" s="33"/>
      <c r="K498" s="33"/>
    </row>
    <row r="499" ht="15.75" customHeight="1">
      <c r="G499" s="33"/>
      <c r="K499" s="33"/>
    </row>
    <row r="500" ht="15.75" customHeight="1">
      <c r="G500" s="33"/>
      <c r="K500" s="33"/>
    </row>
    <row r="501" ht="15.75" customHeight="1">
      <c r="G501" s="33"/>
      <c r="K501" s="33"/>
    </row>
    <row r="502" ht="15.75" customHeight="1">
      <c r="G502" s="33"/>
      <c r="K502" s="33"/>
    </row>
    <row r="503" ht="15.75" customHeight="1">
      <c r="G503" s="33"/>
      <c r="K503" s="33"/>
    </row>
    <row r="504" ht="15.75" customHeight="1">
      <c r="G504" s="33"/>
      <c r="K504" s="33"/>
    </row>
    <row r="505" ht="15.75" customHeight="1">
      <c r="G505" s="33"/>
      <c r="K505" s="33"/>
    </row>
    <row r="506" ht="15.75" customHeight="1">
      <c r="G506" s="33"/>
      <c r="K506" s="33"/>
    </row>
    <row r="507" ht="15.75" customHeight="1">
      <c r="G507" s="33"/>
      <c r="K507" s="33"/>
    </row>
    <row r="508" ht="15.75" customHeight="1">
      <c r="G508" s="33"/>
      <c r="K508" s="33"/>
    </row>
    <row r="509" ht="15.75" customHeight="1">
      <c r="G509" s="33"/>
      <c r="K509" s="33"/>
    </row>
    <row r="510" ht="15.75" customHeight="1">
      <c r="G510" s="33"/>
      <c r="K510" s="33"/>
    </row>
    <row r="511" ht="15.75" customHeight="1">
      <c r="G511" s="33"/>
      <c r="K511" s="33"/>
    </row>
    <row r="512" ht="15.75" customHeight="1">
      <c r="G512" s="33"/>
      <c r="K512" s="33"/>
    </row>
    <row r="513" ht="15.75" customHeight="1">
      <c r="G513" s="33"/>
      <c r="K513" s="33"/>
    </row>
    <row r="514" ht="15.75" customHeight="1">
      <c r="G514" s="33"/>
      <c r="K514" s="33"/>
    </row>
    <row r="515" ht="15.75" customHeight="1">
      <c r="G515" s="33"/>
      <c r="K515" s="33"/>
    </row>
    <row r="516" ht="15.75" customHeight="1">
      <c r="G516" s="33"/>
      <c r="K516" s="33"/>
    </row>
    <row r="517" ht="15.75" customHeight="1">
      <c r="G517" s="33"/>
      <c r="K517" s="33"/>
    </row>
    <row r="518" ht="15.75" customHeight="1">
      <c r="G518" s="33"/>
      <c r="K518" s="33"/>
    </row>
    <row r="519" ht="15.75" customHeight="1">
      <c r="G519" s="33"/>
      <c r="K519" s="33"/>
    </row>
    <row r="520" ht="15.75" customHeight="1">
      <c r="G520" s="33"/>
      <c r="K520" s="33"/>
    </row>
    <row r="521" ht="15.75" customHeight="1">
      <c r="G521" s="33"/>
      <c r="K521" s="33"/>
    </row>
    <row r="522" ht="15.75" customHeight="1">
      <c r="G522" s="33"/>
      <c r="K522" s="33"/>
    </row>
    <row r="523" ht="15.75" customHeight="1">
      <c r="G523" s="33"/>
      <c r="K523" s="33"/>
    </row>
    <row r="524" ht="15.75" customHeight="1">
      <c r="G524" s="33"/>
      <c r="K524" s="33"/>
    </row>
    <row r="525" ht="15.75" customHeight="1">
      <c r="G525" s="33"/>
      <c r="K525" s="33"/>
    </row>
    <row r="526" ht="15.75" customHeight="1">
      <c r="G526" s="33"/>
      <c r="K526" s="33"/>
    </row>
    <row r="527" ht="15.75" customHeight="1">
      <c r="G527" s="33"/>
      <c r="K527" s="33"/>
    </row>
    <row r="528" ht="15.75" customHeight="1">
      <c r="G528" s="33"/>
      <c r="K528" s="33"/>
    </row>
    <row r="529" ht="15.75" customHeight="1">
      <c r="G529" s="33"/>
      <c r="K529" s="33"/>
    </row>
    <row r="530" ht="15.75" customHeight="1">
      <c r="G530" s="33"/>
      <c r="K530" s="33"/>
    </row>
    <row r="531" ht="15.75" customHeight="1">
      <c r="G531" s="33"/>
      <c r="K531" s="33"/>
    </row>
    <row r="532" ht="15.75" customHeight="1">
      <c r="G532" s="33"/>
      <c r="K532" s="33"/>
    </row>
    <row r="533" ht="15.75" customHeight="1">
      <c r="G533" s="33"/>
      <c r="K533" s="33"/>
    </row>
    <row r="534" ht="15.75" customHeight="1">
      <c r="G534" s="33"/>
      <c r="K534" s="33"/>
    </row>
    <row r="535" ht="15.75" customHeight="1">
      <c r="G535" s="33"/>
      <c r="K535" s="33"/>
    </row>
    <row r="536" ht="15.75" customHeight="1">
      <c r="G536" s="33"/>
      <c r="K536" s="33"/>
    </row>
    <row r="537" ht="15.75" customHeight="1">
      <c r="G537" s="33"/>
      <c r="K537" s="33"/>
    </row>
    <row r="538" ht="15.75" customHeight="1">
      <c r="G538" s="33"/>
      <c r="K538" s="33"/>
    </row>
    <row r="539" ht="15.75" customHeight="1">
      <c r="G539" s="33"/>
      <c r="K539" s="33"/>
    </row>
    <row r="540" ht="15.75" customHeight="1">
      <c r="G540" s="33"/>
      <c r="K540" s="33"/>
    </row>
    <row r="541" ht="15.75" customHeight="1">
      <c r="G541" s="33"/>
      <c r="K541" s="33"/>
    </row>
    <row r="542" ht="15.75" customHeight="1">
      <c r="G542" s="33"/>
      <c r="K542" s="33"/>
    </row>
    <row r="543" ht="15.75" customHeight="1">
      <c r="G543" s="33"/>
      <c r="K543" s="33"/>
    </row>
    <row r="544" ht="15.75" customHeight="1">
      <c r="G544" s="33"/>
      <c r="K544" s="33"/>
    </row>
    <row r="545" ht="15.75" customHeight="1">
      <c r="G545" s="33"/>
      <c r="K545" s="33"/>
    </row>
    <row r="546" ht="15.75" customHeight="1">
      <c r="G546" s="33"/>
      <c r="K546" s="33"/>
    </row>
    <row r="547" ht="15.75" customHeight="1">
      <c r="G547" s="33"/>
      <c r="K547" s="33"/>
    </row>
    <row r="548" ht="15.75" customHeight="1">
      <c r="G548" s="33"/>
      <c r="K548" s="33"/>
    </row>
    <row r="549" ht="15.75" customHeight="1">
      <c r="G549" s="33"/>
      <c r="K549" s="33"/>
    </row>
    <row r="550" ht="15.75" customHeight="1">
      <c r="G550" s="33"/>
      <c r="K550" s="33"/>
    </row>
    <row r="551" ht="15.75" customHeight="1">
      <c r="G551" s="33"/>
      <c r="K551" s="33"/>
    </row>
    <row r="552" ht="15.75" customHeight="1">
      <c r="G552" s="33"/>
      <c r="K552" s="33"/>
    </row>
    <row r="553" ht="15.75" customHeight="1">
      <c r="G553" s="33"/>
      <c r="K553" s="33"/>
    </row>
    <row r="554" ht="15.75" customHeight="1">
      <c r="G554" s="33"/>
      <c r="K554" s="33"/>
    </row>
    <row r="555" ht="15.75" customHeight="1">
      <c r="G555" s="33"/>
      <c r="K555" s="33"/>
    </row>
    <row r="556" ht="15.75" customHeight="1">
      <c r="G556" s="33"/>
      <c r="K556" s="33"/>
    </row>
    <row r="557" ht="15.75" customHeight="1">
      <c r="G557" s="33"/>
      <c r="K557" s="33"/>
    </row>
    <row r="558" ht="15.75" customHeight="1">
      <c r="G558" s="33"/>
      <c r="K558" s="33"/>
    </row>
    <row r="559" ht="15.75" customHeight="1">
      <c r="G559" s="33"/>
      <c r="K559" s="33"/>
    </row>
    <row r="560" ht="15.75" customHeight="1">
      <c r="G560" s="33"/>
      <c r="K560" s="33"/>
    </row>
    <row r="561" ht="15.75" customHeight="1">
      <c r="G561" s="33"/>
      <c r="K561" s="33"/>
    </row>
    <row r="562" ht="15.75" customHeight="1">
      <c r="G562" s="33"/>
      <c r="K562" s="33"/>
    </row>
    <row r="563" ht="15.75" customHeight="1">
      <c r="G563" s="33"/>
      <c r="K563" s="33"/>
    </row>
    <row r="564" ht="15.75" customHeight="1">
      <c r="G564" s="33"/>
      <c r="K564" s="33"/>
    </row>
    <row r="565" ht="15.75" customHeight="1">
      <c r="G565" s="33"/>
      <c r="K565" s="33"/>
    </row>
    <row r="566" ht="15.75" customHeight="1">
      <c r="G566" s="33"/>
      <c r="K566" s="33"/>
    </row>
    <row r="567" ht="15.75" customHeight="1">
      <c r="G567" s="33"/>
      <c r="K567" s="33"/>
    </row>
    <row r="568" ht="15.75" customHeight="1">
      <c r="G568" s="33"/>
      <c r="K568" s="33"/>
    </row>
    <row r="569" ht="15.75" customHeight="1">
      <c r="G569" s="33"/>
      <c r="K569" s="33"/>
    </row>
    <row r="570" ht="15.75" customHeight="1">
      <c r="G570" s="33"/>
      <c r="K570" s="33"/>
    </row>
    <row r="571" ht="15.75" customHeight="1">
      <c r="G571" s="33"/>
      <c r="K571" s="33"/>
    </row>
    <row r="572" ht="15.75" customHeight="1">
      <c r="G572" s="33"/>
      <c r="K572" s="33"/>
    </row>
    <row r="573" ht="15.75" customHeight="1">
      <c r="G573" s="33"/>
      <c r="K573" s="33"/>
    </row>
    <row r="574" ht="15.75" customHeight="1">
      <c r="G574" s="33"/>
      <c r="K574" s="33"/>
    </row>
    <row r="575" ht="15.75" customHeight="1">
      <c r="G575" s="33"/>
      <c r="K575" s="33"/>
    </row>
    <row r="576" ht="15.75" customHeight="1">
      <c r="G576" s="33"/>
      <c r="K576" s="33"/>
    </row>
    <row r="577" ht="15.75" customHeight="1">
      <c r="G577" s="33"/>
      <c r="K577" s="33"/>
    </row>
    <row r="578" ht="15.75" customHeight="1">
      <c r="G578" s="33"/>
      <c r="K578" s="33"/>
    </row>
    <row r="579" ht="15.75" customHeight="1">
      <c r="G579" s="33"/>
      <c r="K579" s="33"/>
    </row>
    <row r="580" ht="15.75" customHeight="1">
      <c r="G580" s="33"/>
      <c r="K580" s="33"/>
    </row>
    <row r="581" ht="15.75" customHeight="1">
      <c r="G581" s="33"/>
      <c r="K581" s="33"/>
    </row>
    <row r="582" ht="15.75" customHeight="1">
      <c r="G582" s="33"/>
      <c r="K582" s="33"/>
    </row>
    <row r="583" ht="15.75" customHeight="1">
      <c r="G583" s="33"/>
      <c r="K583" s="33"/>
    </row>
    <row r="584" ht="15.75" customHeight="1">
      <c r="G584" s="33"/>
      <c r="K584" s="33"/>
    </row>
    <row r="585" ht="15.75" customHeight="1">
      <c r="G585" s="33"/>
      <c r="K585" s="33"/>
    </row>
    <row r="586" ht="15.75" customHeight="1">
      <c r="G586" s="33"/>
      <c r="K586" s="33"/>
    </row>
    <row r="587" ht="15.75" customHeight="1">
      <c r="G587" s="33"/>
      <c r="K587" s="33"/>
    </row>
    <row r="588" ht="15.75" customHeight="1">
      <c r="G588" s="33"/>
      <c r="K588" s="33"/>
    </row>
    <row r="589" ht="15.75" customHeight="1">
      <c r="G589" s="33"/>
      <c r="K589" s="33"/>
    </row>
    <row r="590" ht="15.75" customHeight="1">
      <c r="G590" s="33"/>
      <c r="K590" s="33"/>
    </row>
    <row r="591" ht="15.75" customHeight="1">
      <c r="G591" s="33"/>
      <c r="K591" s="33"/>
    </row>
    <row r="592" ht="15.75" customHeight="1">
      <c r="G592" s="33"/>
      <c r="K592" s="33"/>
    </row>
    <row r="593" ht="15.75" customHeight="1">
      <c r="G593" s="33"/>
      <c r="K593" s="33"/>
    </row>
    <row r="594" ht="15.75" customHeight="1">
      <c r="G594" s="33"/>
      <c r="K594" s="33"/>
    </row>
    <row r="595" ht="15.75" customHeight="1">
      <c r="G595" s="33"/>
      <c r="K595" s="33"/>
    </row>
    <row r="596" ht="15.75" customHeight="1">
      <c r="G596" s="33"/>
      <c r="K596" s="33"/>
    </row>
    <row r="597" ht="15.75" customHeight="1">
      <c r="G597" s="33"/>
      <c r="K597" s="33"/>
    </row>
    <row r="598" ht="15.75" customHeight="1">
      <c r="G598" s="33"/>
      <c r="K598" s="33"/>
    </row>
    <row r="599" ht="15.75" customHeight="1">
      <c r="G599" s="33"/>
      <c r="K599" s="33"/>
    </row>
    <row r="600" ht="15.75" customHeight="1">
      <c r="G600" s="33"/>
      <c r="K600" s="33"/>
    </row>
    <row r="601" ht="15.75" customHeight="1">
      <c r="G601" s="33"/>
      <c r="K601" s="33"/>
    </row>
    <row r="602" ht="15.75" customHeight="1">
      <c r="G602" s="33"/>
      <c r="K602" s="33"/>
    </row>
    <row r="603" ht="15.75" customHeight="1">
      <c r="G603" s="33"/>
      <c r="K603" s="33"/>
    </row>
    <row r="604" ht="15.75" customHeight="1">
      <c r="G604" s="33"/>
      <c r="K604" s="33"/>
    </row>
    <row r="605" ht="15.75" customHeight="1">
      <c r="G605" s="33"/>
      <c r="K605" s="33"/>
    </row>
    <row r="606" ht="15.75" customHeight="1">
      <c r="G606" s="33"/>
      <c r="K606" s="33"/>
    </row>
    <row r="607" ht="15.75" customHeight="1">
      <c r="G607" s="33"/>
      <c r="K607" s="33"/>
    </row>
    <row r="608" ht="15.75" customHeight="1">
      <c r="G608" s="33"/>
      <c r="K608" s="33"/>
    </row>
    <row r="609" ht="15.75" customHeight="1">
      <c r="G609" s="33"/>
      <c r="K609" s="33"/>
    </row>
    <row r="610" ht="15.75" customHeight="1">
      <c r="G610" s="33"/>
      <c r="K610" s="33"/>
    </row>
    <row r="611" ht="15.75" customHeight="1">
      <c r="G611" s="33"/>
      <c r="K611" s="33"/>
    </row>
    <row r="612" ht="15.75" customHeight="1">
      <c r="G612" s="33"/>
      <c r="K612" s="33"/>
    </row>
    <row r="613" ht="15.75" customHeight="1">
      <c r="G613" s="33"/>
      <c r="K613" s="33"/>
    </row>
    <row r="614" ht="15.75" customHeight="1">
      <c r="G614" s="33"/>
      <c r="K614" s="33"/>
    </row>
    <row r="615" ht="15.75" customHeight="1">
      <c r="G615" s="33"/>
      <c r="K615" s="33"/>
    </row>
    <row r="616" ht="15.75" customHeight="1">
      <c r="G616" s="33"/>
      <c r="K616" s="33"/>
    </row>
    <row r="617" ht="15.75" customHeight="1">
      <c r="G617" s="33"/>
      <c r="K617" s="33"/>
    </row>
    <row r="618" ht="15.75" customHeight="1">
      <c r="G618" s="33"/>
      <c r="K618" s="33"/>
    </row>
    <row r="619" ht="15.75" customHeight="1">
      <c r="G619" s="33"/>
      <c r="K619" s="33"/>
    </row>
    <row r="620" ht="15.75" customHeight="1">
      <c r="G620" s="33"/>
      <c r="K620" s="33"/>
    </row>
    <row r="621" ht="15.75" customHeight="1">
      <c r="G621" s="33"/>
      <c r="K621" s="33"/>
    </row>
    <row r="622" ht="15.75" customHeight="1">
      <c r="G622" s="33"/>
      <c r="K622" s="33"/>
    </row>
    <row r="623" ht="15.75" customHeight="1">
      <c r="G623" s="33"/>
      <c r="K623" s="33"/>
    </row>
    <row r="624" ht="15.75" customHeight="1">
      <c r="G624" s="33"/>
      <c r="K624" s="33"/>
    </row>
    <row r="625" ht="15.75" customHeight="1">
      <c r="G625" s="33"/>
      <c r="K625" s="33"/>
    </row>
    <row r="626" ht="15.75" customHeight="1">
      <c r="G626" s="33"/>
      <c r="K626" s="33"/>
    </row>
    <row r="627" ht="15.75" customHeight="1">
      <c r="G627" s="33"/>
      <c r="K627" s="33"/>
    </row>
    <row r="628" ht="15.75" customHeight="1">
      <c r="G628" s="33"/>
      <c r="K628" s="33"/>
    </row>
    <row r="629" ht="15.75" customHeight="1">
      <c r="G629" s="33"/>
      <c r="K629" s="33"/>
    </row>
    <row r="630" ht="15.75" customHeight="1">
      <c r="G630" s="33"/>
      <c r="K630" s="33"/>
    </row>
    <row r="631" ht="15.75" customHeight="1">
      <c r="G631" s="33"/>
      <c r="K631" s="33"/>
    </row>
    <row r="632" ht="15.75" customHeight="1">
      <c r="G632" s="33"/>
      <c r="K632" s="33"/>
    </row>
    <row r="633" ht="15.75" customHeight="1">
      <c r="G633" s="33"/>
      <c r="K633" s="33"/>
    </row>
    <row r="634" ht="15.75" customHeight="1">
      <c r="G634" s="33"/>
      <c r="K634" s="33"/>
    </row>
    <row r="635" ht="15.75" customHeight="1">
      <c r="G635" s="33"/>
      <c r="K635" s="33"/>
    </row>
    <row r="636" ht="15.75" customHeight="1">
      <c r="G636" s="33"/>
      <c r="K636" s="33"/>
    </row>
    <row r="637" ht="15.75" customHeight="1">
      <c r="G637" s="33"/>
      <c r="K637" s="33"/>
    </row>
    <row r="638" ht="15.75" customHeight="1">
      <c r="G638" s="33"/>
      <c r="K638" s="33"/>
    </row>
    <row r="639" ht="15.75" customHeight="1">
      <c r="G639" s="33"/>
      <c r="K639" s="33"/>
    </row>
    <row r="640" ht="15.75" customHeight="1">
      <c r="G640" s="33"/>
      <c r="K640" s="33"/>
    </row>
    <row r="641" ht="15.75" customHeight="1">
      <c r="G641" s="33"/>
      <c r="K641" s="33"/>
    </row>
    <row r="642" ht="15.75" customHeight="1">
      <c r="G642" s="33"/>
      <c r="K642" s="33"/>
    </row>
    <row r="643" ht="15.75" customHeight="1">
      <c r="G643" s="33"/>
      <c r="K643" s="33"/>
    </row>
    <row r="644" ht="15.75" customHeight="1">
      <c r="G644" s="33"/>
      <c r="K644" s="33"/>
    </row>
    <row r="645" ht="15.75" customHeight="1">
      <c r="G645" s="33"/>
      <c r="K645" s="33"/>
    </row>
    <row r="646" ht="15.75" customHeight="1">
      <c r="G646" s="33"/>
      <c r="K646" s="33"/>
    </row>
    <row r="647" ht="15.75" customHeight="1">
      <c r="G647" s="33"/>
      <c r="K647" s="33"/>
    </row>
    <row r="648" ht="15.75" customHeight="1">
      <c r="G648" s="33"/>
      <c r="K648" s="33"/>
    </row>
    <row r="649" ht="15.75" customHeight="1">
      <c r="G649" s="33"/>
      <c r="K649" s="33"/>
    </row>
    <row r="650" ht="15.75" customHeight="1">
      <c r="G650" s="33"/>
      <c r="K650" s="33"/>
    </row>
    <row r="651" ht="15.75" customHeight="1">
      <c r="G651" s="33"/>
      <c r="K651" s="33"/>
    </row>
    <row r="652" ht="15.75" customHeight="1">
      <c r="G652" s="33"/>
      <c r="K652" s="33"/>
    </row>
    <row r="653" ht="15.75" customHeight="1">
      <c r="G653" s="33"/>
      <c r="K653" s="33"/>
    </row>
    <row r="654" ht="15.75" customHeight="1">
      <c r="G654" s="33"/>
      <c r="K654" s="33"/>
    </row>
    <row r="655" ht="15.75" customHeight="1">
      <c r="G655" s="33"/>
      <c r="K655" s="33"/>
    </row>
    <row r="656" ht="15.75" customHeight="1">
      <c r="G656" s="33"/>
      <c r="K656" s="33"/>
    </row>
    <row r="657" ht="15.75" customHeight="1">
      <c r="G657" s="33"/>
      <c r="K657" s="33"/>
    </row>
    <row r="658" ht="15.75" customHeight="1">
      <c r="G658" s="33"/>
      <c r="K658" s="33"/>
    </row>
    <row r="659" ht="15.75" customHeight="1">
      <c r="G659" s="33"/>
      <c r="K659" s="33"/>
    </row>
    <row r="660" ht="15.75" customHeight="1">
      <c r="G660" s="33"/>
      <c r="K660" s="33"/>
    </row>
    <row r="661" ht="15.75" customHeight="1">
      <c r="G661" s="33"/>
      <c r="K661" s="33"/>
    </row>
    <row r="662" ht="15.75" customHeight="1">
      <c r="G662" s="33"/>
      <c r="K662" s="33"/>
    </row>
    <row r="663" ht="15.75" customHeight="1">
      <c r="G663" s="33"/>
      <c r="K663" s="33"/>
    </row>
    <row r="664" ht="15.75" customHeight="1">
      <c r="G664" s="33"/>
      <c r="K664" s="33"/>
    </row>
    <row r="665" ht="15.75" customHeight="1">
      <c r="G665" s="33"/>
      <c r="K665" s="33"/>
    </row>
    <row r="666" ht="15.75" customHeight="1">
      <c r="G666" s="33"/>
      <c r="K666" s="33"/>
    </row>
    <row r="667" ht="15.75" customHeight="1">
      <c r="G667" s="33"/>
      <c r="K667" s="33"/>
    </row>
    <row r="668" ht="15.75" customHeight="1">
      <c r="G668" s="33"/>
      <c r="K668" s="33"/>
    </row>
    <row r="669" ht="15.75" customHeight="1">
      <c r="G669" s="33"/>
      <c r="K669" s="33"/>
    </row>
    <row r="670" ht="15.75" customHeight="1">
      <c r="G670" s="33"/>
      <c r="K670" s="33"/>
    </row>
    <row r="671" ht="15.75" customHeight="1">
      <c r="G671" s="33"/>
      <c r="K671" s="33"/>
    </row>
    <row r="672" ht="15.75" customHeight="1">
      <c r="G672" s="33"/>
      <c r="K672" s="33"/>
    </row>
    <row r="673" ht="15.75" customHeight="1">
      <c r="G673" s="33"/>
      <c r="K673" s="33"/>
    </row>
    <row r="674" ht="15.75" customHeight="1">
      <c r="G674" s="33"/>
      <c r="K674" s="33"/>
    </row>
    <row r="675" ht="15.75" customHeight="1">
      <c r="G675" s="33"/>
      <c r="K675" s="33"/>
    </row>
    <row r="676" ht="15.75" customHeight="1">
      <c r="G676" s="33"/>
      <c r="K676" s="33"/>
    </row>
    <row r="677" ht="15.75" customHeight="1">
      <c r="G677" s="33"/>
      <c r="K677" s="33"/>
    </row>
    <row r="678" ht="15.75" customHeight="1">
      <c r="G678" s="33"/>
      <c r="K678" s="33"/>
    </row>
    <row r="679" ht="15.75" customHeight="1">
      <c r="G679" s="33"/>
      <c r="K679" s="33"/>
    </row>
    <row r="680" ht="15.75" customHeight="1">
      <c r="G680" s="33"/>
      <c r="K680" s="33"/>
    </row>
    <row r="681" ht="15.75" customHeight="1">
      <c r="G681" s="33"/>
      <c r="K681" s="33"/>
    </row>
    <row r="682" ht="15.75" customHeight="1">
      <c r="G682" s="33"/>
      <c r="K682" s="33"/>
    </row>
    <row r="683" ht="15.75" customHeight="1">
      <c r="G683" s="33"/>
      <c r="K683" s="33"/>
    </row>
    <row r="684" ht="15.75" customHeight="1">
      <c r="G684" s="33"/>
      <c r="K684" s="33"/>
    </row>
    <row r="685" ht="15.75" customHeight="1">
      <c r="G685" s="33"/>
      <c r="K685" s="33"/>
    </row>
    <row r="686" ht="15.75" customHeight="1">
      <c r="G686" s="33"/>
      <c r="K686" s="33"/>
    </row>
    <row r="687" ht="15.75" customHeight="1">
      <c r="G687" s="33"/>
      <c r="K687" s="33"/>
    </row>
    <row r="688" ht="15.75" customHeight="1">
      <c r="G688" s="33"/>
      <c r="K688" s="33"/>
    </row>
    <row r="689" ht="15.75" customHeight="1">
      <c r="G689" s="33"/>
      <c r="K689" s="33"/>
    </row>
    <row r="690" ht="15.75" customHeight="1">
      <c r="G690" s="33"/>
      <c r="K690" s="33"/>
    </row>
    <row r="691" ht="15.75" customHeight="1">
      <c r="G691" s="33"/>
      <c r="K691" s="33"/>
    </row>
    <row r="692" ht="15.75" customHeight="1">
      <c r="G692" s="33"/>
      <c r="K692" s="33"/>
    </row>
    <row r="693" ht="15.75" customHeight="1">
      <c r="G693" s="33"/>
      <c r="K693" s="33"/>
    </row>
    <row r="694" ht="15.75" customHeight="1">
      <c r="G694" s="33"/>
      <c r="K694" s="33"/>
    </row>
    <row r="695" ht="15.75" customHeight="1">
      <c r="G695" s="33"/>
      <c r="K695" s="33"/>
    </row>
    <row r="696" ht="15.75" customHeight="1">
      <c r="G696" s="33"/>
      <c r="K696" s="33"/>
    </row>
    <row r="697" ht="15.75" customHeight="1">
      <c r="G697" s="33"/>
      <c r="K697" s="33"/>
    </row>
    <row r="698" ht="15.75" customHeight="1">
      <c r="G698" s="33"/>
      <c r="K698" s="33"/>
    </row>
    <row r="699" ht="15.75" customHeight="1">
      <c r="G699" s="33"/>
      <c r="K699" s="33"/>
    </row>
    <row r="700" ht="15.75" customHeight="1">
      <c r="G700" s="33"/>
      <c r="K700" s="33"/>
    </row>
    <row r="701" ht="15.75" customHeight="1">
      <c r="G701" s="33"/>
      <c r="K701" s="33"/>
    </row>
    <row r="702" ht="15.75" customHeight="1">
      <c r="G702" s="33"/>
      <c r="K702" s="33"/>
    </row>
    <row r="703" ht="15.75" customHeight="1">
      <c r="G703" s="33"/>
      <c r="K703" s="33"/>
    </row>
    <row r="704" ht="15.75" customHeight="1">
      <c r="G704" s="33"/>
      <c r="K704" s="33"/>
    </row>
    <row r="705" ht="15.75" customHeight="1">
      <c r="G705" s="33"/>
      <c r="K705" s="33"/>
    </row>
    <row r="706" ht="15.75" customHeight="1">
      <c r="G706" s="33"/>
      <c r="K706" s="33"/>
    </row>
    <row r="707" ht="15.75" customHeight="1">
      <c r="G707" s="33"/>
      <c r="K707" s="33"/>
    </row>
    <row r="708" ht="15.75" customHeight="1">
      <c r="G708" s="33"/>
      <c r="K708" s="33"/>
    </row>
    <row r="709" ht="15.75" customHeight="1">
      <c r="G709" s="33"/>
      <c r="K709" s="33"/>
    </row>
    <row r="710" ht="15.75" customHeight="1">
      <c r="G710" s="33"/>
      <c r="K710" s="33"/>
    </row>
    <row r="711" ht="15.75" customHeight="1">
      <c r="G711" s="33"/>
      <c r="K711" s="33"/>
    </row>
    <row r="712" ht="15.75" customHeight="1">
      <c r="G712" s="33"/>
      <c r="K712" s="33"/>
    </row>
    <row r="713" ht="15.75" customHeight="1">
      <c r="G713" s="33"/>
      <c r="K713" s="33"/>
    </row>
    <row r="714" ht="15.75" customHeight="1">
      <c r="G714" s="33"/>
      <c r="K714" s="33"/>
    </row>
    <row r="715" ht="15.75" customHeight="1">
      <c r="G715" s="33"/>
      <c r="K715" s="33"/>
    </row>
    <row r="716" ht="15.75" customHeight="1">
      <c r="G716" s="33"/>
      <c r="K716" s="33"/>
    </row>
    <row r="717" ht="15.75" customHeight="1">
      <c r="G717" s="33"/>
      <c r="K717" s="33"/>
    </row>
    <row r="718" ht="15.75" customHeight="1">
      <c r="G718" s="33"/>
      <c r="K718" s="33"/>
    </row>
    <row r="719" ht="15.75" customHeight="1">
      <c r="G719" s="33"/>
      <c r="K719" s="33"/>
    </row>
    <row r="720" ht="15.75" customHeight="1">
      <c r="G720" s="33"/>
      <c r="K720" s="33"/>
    </row>
    <row r="721" ht="15.75" customHeight="1">
      <c r="G721" s="33"/>
      <c r="K721" s="33"/>
    </row>
    <row r="722" ht="15.75" customHeight="1">
      <c r="G722" s="33"/>
      <c r="K722" s="33"/>
    </row>
    <row r="723" ht="15.75" customHeight="1">
      <c r="G723" s="33"/>
      <c r="K723" s="33"/>
    </row>
    <row r="724" ht="15.75" customHeight="1">
      <c r="G724" s="33"/>
      <c r="K724" s="33"/>
    </row>
    <row r="725" ht="15.75" customHeight="1">
      <c r="G725" s="33"/>
      <c r="K725" s="33"/>
    </row>
    <row r="726" ht="15.75" customHeight="1">
      <c r="G726" s="33"/>
      <c r="K726" s="33"/>
    </row>
    <row r="727" ht="15.75" customHeight="1">
      <c r="G727" s="33"/>
      <c r="K727" s="33"/>
    </row>
    <row r="728" ht="15.75" customHeight="1">
      <c r="G728" s="33"/>
      <c r="K728" s="33"/>
    </row>
    <row r="729" ht="15.75" customHeight="1">
      <c r="G729" s="33"/>
      <c r="K729" s="33"/>
    </row>
    <row r="730" ht="15.75" customHeight="1">
      <c r="G730" s="33"/>
      <c r="K730" s="33"/>
    </row>
    <row r="731" ht="15.75" customHeight="1">
      <c r="G731" s="33"/>
      <c r="K731" s="33"/>
    </row>
    <row r="732" ht="15.75" customHeight="1">
      <c r="G732" s="33"/>
      <c r="K732" s="33"/>
    </row>
    <row r="733" ht="15.75" customHeight="1">
      <c r="G733" s="33"/>
      <c r="K733" s="33"/>
    </row>
    <row r="734" ht="15.75" customHeight="1">
      <c r="G734" s="33"/>
      <c r="K734" s="33"/>
    </row>
    <row r="735" ht="15.75" customHeight="1">
      <c r="G735" s="33"/>
      <c r="K735" s="33"/>
    </row>
    <row r="736" ht="15.75" customHeight="1">
      <c r="G736" s="33"/>
      <c r="K736" s="33"/>
    </row>
    <row r="737" ht="15.75" customHeight="1">
      <c r="G737" s="33"/>
      <c r="K737" s="33"/>
    </row>
    <row r="738" ht="15.75" customHeight="1">
      <c r="G738" s="33"/>
      <c r="K738" s="33"/>
    </row>
    <row r="739" ht="15.75" customHeight="1">
      <c r="G739" s="33"/>
      <c r="K739" s="33"/>
    </row>
    <row r="740" ht="15.75" customHeight="1">
      <c r="G740" s="33"/>
      <c r="K740" s="33"/>
    </row>
    <row r="741" ht="15.75" customHeight="1">
      <c r="G741" s="33"/>
      <c r="K741" s="33"/>
    </row>
    <row r="742" ht="15.75" customHeight="1">
      <c r="G742" s="33"/>
      <c r="K742" s="33"/>
    </row>
    <row r="743" ht="15.75" customHeight="1">
      <c r="G743" s="33"/>
      <c r="K743" s="33"/>
    </row>
    <row r="744" ht="15.75" customHeight="1">
      <c r="G744" s="33"/>
      <c r="K744" s="33"/>
    </row>
    <row r="745" ht="15.75" customHeight="1">
      <c r="G745" s="33"/>
      <c r="K745" s="33"/>
    </row>
    <row r="746" ht="15.75" customHeight="1">
      <c r="G746" s="33"/>
      <c r="K746" s="33"/>
    </row>
    <row r="747" ht="15.75" customHeight="1">
      <c r="G747" s="33"/>
      <c r="K747" s="33"/>
    </row>
    <row r="748" ht="15.75" customHeight="1">
      <c r="G748" s="33"/>
      <c r="K748" s="33"/>
    </row>
    <row r="749" ht="15.75" customHeight="1">
      <c r="G749" s="33"/>
      <c r="K749" s="33"/>
    </row>
    <row r="750" ht="15.75" customHeight="1">
      <c r="G750" s="33"/>
      <c r="K750" s="33"/>
    </row>
    <row r="751" ht="15.75" customHeight="1">
      <c r="G751" s="33"/>
      <c r="K751" s="33"/>
    </row>
    <row r="752" ht="15.75" customHeight="1">
      <c r="G752" s="33"/>
      <c r="K752" s="33"/>
    </row>
    <row r="753" ht="15.75" customHeight="1">
      <c r="G753" s="33"/>
      <c r="K753" s="33"/>
    </row>
    <row r="754" ht="15.75" customHeight="1">
      <c r="G754" s="33"/>
      <c r="K754" s="33"/>
    </row>
    <row r="755" ht="15.75" customHeight="1">
      <c r="G755" s="33"/>
      <c r="K755" s="33"/>
    </row>
    <row r="756" ht="15.75" customHeight="1">
      <c r="G756" s="33"/>
      <c r="K756" s="33"/>
    </row>
    <row r="757" ht="15.75" customHeight="1">
      <c r="G757" s="33"/>
      <c r="K757" s="33"/>
    </row>
    <row r="758" ht="15.75" customHeight="1">
      <c r="G758" s="33"/>
      <c r="K758" s="33"/>
    </row>
    <row r="759" ht="15.75" customHeight="1">
      <c r="G759" s="33"/>
      <c r="K759" s="33"/>
    </row>
    <row r="760" ht="15.75" customHeight="1">
      <c r="G760" s="33"/>
      <c r="K760" s="33"/>
    </row>
    <row r="761" ht="15.75" customHeight="1">
      <c r="G761" s="33"/>
      <c r="K761" s="33"/>
    </row>
    <row r="762" ht="15.75" customHeight="1">
      <c r="G762" s="33"/>
      <c r="K762" s="33"/>
    </row>
    <row r="763" ht="15.75" customHeight="1">
      <c r="G763" s="33"/>
      <c r="K763" s="33"/>
    </row>
    <row r="764" ht="15.75" customHeight="1">
      <c r="G764" s="33"/>
      <c r="K764" s="33"/>
    </row>
    <row r="765" ht="15.75" customHeight="1">
      <c r="G765" s="33"/>
      <c r="K765" s="33"/>
    </row>
    <row r="766" ht="15.75" customHeight="1">
      <c r="G766" s="33"/>
      <c r="K766" s="33"/>
    </row>
    <row r="767" ht="15.75" customHeight="1">
      <c r="G767" s="33"/>
      <c r="K767" s="33"/>
    </row>
    <row r="768" ht="15.75" customHeight="1">
      <c r="G768" s="33"/>
      <c r="K768" s="33"/>
    </row>
    <row r="769" ht="15.75" customHeight="1">
      <c r="G769" s="33"/>
      <c r="K769" s="33"/>
    </row>
    <row r="770" ht="15.75" customHeight="1">
      <c r="G770" s="33"/>
      <c r="K770" s="33"/>
    </row>
    <row r="771" ht="15.75" customHeight="1">
      <c r="G771" s="33"/>
      <c r="K771" s="33"/>
    </row>
    <row r="772" ht="15.75" customHeight="1">
      <c r="G772" s="33"/>
      <c r="K772" s="33"/>
    </row>
    <row r="773" ht="15.75" customHeight="1">
      <c r="G773" s="33"/>
      <c r="K773" s="33"/>
    </row>
    <row r="774" ht="15.75" customHeight="1">
      <c r="G774" s="33"/>
      <c r="K774" s="33"/>
    </row>
    <row r="775" ht="15.75" customHeight="1">
      <c r="G775" s="33"/>
      <c r="K775" s="33"/>
    </row>
    <row r="776" ht="15.75" customHeight="1">
      <c r="G776" s="33"/>
      <c r="K776" s="33"/>
    </row>
    <row r="777" ht="15.75" customHeight="1">
      <c r="G777" s="33"/>
      <c r="K777" s="33"/>
    </row>
    <row r="778" ht="15.75" customHeight="1">
      <c r="G778" s="33"/>
      <c r="K778" s="33"/>
    </row>
    <row r="779" ht="15.75" customHeight="1">
      <c r="G779" s="33"/>
      <c r="K779" s="33"/>
    </row>
    <row r="780" ht="15.75" customHeight="1">
      <c r="G780" s="33"/>
      <c r="K780" s="33"/>
    </row>
    <row r="781" ht="15.75" customHeight="1">
      <c r="G781" s="33"/>
      <c r="K781" s="33"/>
    </row>
    <row r="782" ht="15.75" customHeight="1">
      <c r="G782" s="33"/>
      <c r="K782" s="33"/>
    </row>
    <row r="783" ht="15.75" customHeight="1">
      <c r="G783" s="33"/>
      <c r="K783" s="33"/>
    </row>
    <row r="784" ht="15.75" customHeight="1">
      <c r="G784" s="33"/>
      <c r="K784" s="33"/>
    </row>
    <row r="785" ht="15.75" customHeight="1">
      <c r="G785" s="33"/>
      <c r="K785" s="33"/>
    </row>
    <row r="786" ht="15.75" customHeight="1">
      <c r="G786" s="33"/>
      <c r="K786" s="33"/>
    </row>
    <row r="787" ht="15.75" customHeight="1">
      <c r="G787" s="33"/>
      <c r="K787" s="33"/>
    </row>
    <row r="788" ht="15.75" customHeight="1">
      <c r="G788" s="33"/>
      <c r="K788" s="33"/>
    </row>
    <row r="789" ht="15.75" customHeight="1">
      <c r="G789" s="33"/>
      <c r="K789" s="33"/>
    </row>
    <row r="790" ht="15.75" customHeight="1">
      <c r="G790" s="33"/>
      <c r="K790" s="33"/>
    </row>
    <row r="791" ht="15.75" customHeight="1">
      <c r="G791" s="33"/>
      <c r="K791" s="33"/>
    </row>
    <row r="792" ht="15.75" customHeight="1">
      <c r="G792" s="33"/>
      <c r="K792" s="33"/>
    </row>
    <row r="793" ht="15.75" customHeight="1">
      <c r="G793" s="33"/>
      <c r="K793" s="33"/>
    </row>
    <row r="794" ht="15.75" customHeight="1">
      <c r="G794" s="33"/>
      <c r="K794" s="33"/>
    </row>
    <row r="795" ht="15.75" customHeight="1">
      <c r="G795" s="33"/>
      <c r="K795" s="33"/>
    </row>
    <row r="796" ht="15.75" customHeight="1">
      <c r="G796" s="33"/>
      <c r="K796" s="33"/>
    </row>
    <row r="797" ht="15.75" customHeight="1">
      <c r="G797" s="33"/>
      <c r="K797" s="33"/>
    </row>
    <row r="798" ht="15.75" customHeight="1">
      <c r="G798" s="33"/>
      <c r="K798" s="33"/>
    </row>
    <row r="799" ht="15.75" customHeight="1">
      <c r="G799" s="33"/>
      <c r="K799" s="33"/>
    </row>
    <row r="800" ht="15.75" customHeight="1">
      <c r="G800" s="33"/>
      <c r="K800" s="33"/>
    </row>
    <row r="801" ht="15.75" customHeight="1">
      <c r="G801" s="33"/>
      <c r="K801" s="33"/>
    </row>
    <row r="802" ht="15.75" customHeight="1">
      <c r="G802" s="33"/>
      <c r="K802" s="33"/>
    </row>
    <row r="803" ht="15.75" customHeight="1">
      <c r="G803" s="33"/>
      <c r="K803" s="33"/>
    </row>
    <row r="804" ht="15.75" customHeight="1">
      <c r="G804" s="33"/>
      <c r="K804" s="33"/>
    </row>
    <row r="805" ht="15.75" customHeight="1">
      <c r="G805" s="33"/>
      <c r="K805" s="33"/>
    </row>
    <row r="806" ht="15.75" customHeight="1">
      <c r="G806" s="33"/>
      <c r="K806" s="33"/>
    </row>
    <row r="807" ht="15.75" customHeight="1">
      <c r="G807" s="33"/>
      <c r="K807" s="33"/>
    </row>
    <row r="808" ht="15.75" customHeight="1">
      <c r="G808" s="33"/>
      <c r="K808" s="33"/>
    </row>
    <row r="809" ht="15.75" customHeight="1">
      <c r="G809" s="33"/>
      <c r="K809" s="33"/>
    </row>
    <row r="810" ht="15.75" customHeight="1">
      <c r="G810" s="33"/>
      <c r="K810" s="33"/>
    </row>
    <row r="811" ht="15.75" customHeight="1">
      <c r="G811" s="33"/>
      <c r="K811" s="33"/>
    </row>
    <row r="812" ht="15.75" customHeight="1">
      <c r="G812" s="33"/>
      <c r="K812" s="33"/>
    </row>
    <row r="813" ht="15.75" customHeight="1">
      <c r="G813" s="33"/>
      <c r="K813" s="33"/>
    </row>
    <row r="814" ht="15.75" customHeight="1">
      <c r="G814" s="33"/>
      <c r="K814" s="33"/>
    </row>
    <row r="815" ht="15.75" customHeight="1">
      <c r="G815" s="33"/>
      <c r="K815" s="33"/>
    </row>
    <row r="816" ht="15.75" customHeight="1">
      <c r="G816" s="33"/>
      <c r="K816" s="33"/>
    </row>
    <row r="817" ht="15.75" customHeight="1">
      <c r="G817" s="33"/>
      <c r="K817" s="33"/>
    </row>
    <row r="818" ht="15.75" customHeight="1">
      <c r="G818" s="33"/>
      <c r="K818" s="33"/>
    </row>
    <row r="819" ht="15.75" customHeight="1">
      <c r="G819" s="33"/>
      <c r="K819" s="33"/>
    </row>
    <row r="820" ht="15.75" customHeight="1">
      <c r="G820" s="33"/>
      <c r="K820" s="33"/>
    </row>
    <row r="821" ht="15.75" customHeight="1">
      <c r="G821" s="33"/>
      <c r="K821" s="33"/>
    </row>
    <row r="822" ht="15.75" customHeight="1">
      <c r="G822" s="33"/>
      <c r="K822" s="33"/>
    </row>
    <row r="823" ht="15.75" customHeight="1">
      <c r="G823" s="33"/>
      <c r="K823" s="33"/>
    </row>
    <row r="824" ht="15.75" customHeight="1">
      <c r="G824" s="33"/>
      <c r="K824" s="33"/>
    </row>
    <row r="825" ht="15.75" customHeight="1">
      <c r="G825" s="33"/>
      <c r="K825" s="33"/>
    </row>
    <row r="826" ht="15.75" customHeight="1">
      <c r="G826" s="33"/>
      <c r="K826" s="33"/>
    </row>
    <row r="827" ht="15.75" customHeight="1">
      <c r="G827" s="33"/>
      <c r="K827" s="33"/>
    </row>
    <row r="828" ht="15.75" customHeight="1">
      <c r="G828" s="33"/>
      <c r="K828" s="33"/>
    </row>
    <row r="829" ht="15.75" customHeight="1">
      <c r="G829" s="33"/>
      <c r="K829" s="33"/>
    </row>
    <row r="830" ht="15.75" customHeight="1">
      <c r="G830" s="33"/>
      <c r="K830" s="33"/>
    </row>
    <row r="831" ht="15.75" customHeight="1">
      <c r="G831" s="33"/>
      <c r="K831" s="33"/>
    </row>
    <row r="832" ht="15.75" customHeight="1">
      <c r="G832" s="33"/>
      <c r="K832" s="33"/>
    </row>
    <row r="833" ht="15.75" customHeight="1">
      <c r="G833" s="33"/>
      <c r="K833" s="33"/>
    </row>
    <row r="834" ht="15.75" customHeight="1">
      <c r="G834" s="33"/>
      <c r="K834" s="33"/>
    </row>
    <row r="835" ht="15.75" customHeight="1">
      <c r="G835" s="33"/>
      <c r="K835" s="33"/>
    </row>
    <row r="836" ht="15.75" customHeight="1">
      <c r="G836" s="33"/>
      <c r="K836" s="33"/>
    </row>
    <row r="837" ht="15.75" customHeight="1">
      <c r="G837" s="33"/>
      <c r="K837" s="33"/>
    </row>
    <row r="838" ht="15.75" customHeight="1">
      <c r="G838" s="33"/>
      <c r="K838" s="33"/>
    </row>
    <row r="839" ht="15.75" customHeight="1">
      <c r="G839" s="33"/>
      <c r="K839" s="33"/>
    </row>
    <row r="840" ht="15.75" customHeight="1">
      <c r="G840" s="33"/>
      <c r="K840" s="33"/>
    </row>
    <row r="841" ht="15.75" customHeight="1">
      <c r="G841" s="33"/>
      <c r="K841" s="33"/>
    </row>
    <row r="842" ht="15.75" customHeight="1">
      <c r="G842" s="33"/>
      <c r="K842" s="33"/>
    </row>
    <row r="843" ht="15.75" customHeight="1">
      <c r="G843" s="33"/>
      <c r="K843" s="33"/>
    </row>
    <row r="844" ht="15.75" customHeight="1">
      <c r="G844" s="33"/>
      <c r="K844" s="33"/>
    </row>
    <row r="845" ht="15.75" customHeight="1">
      <c r="G845" s="33"/>
      <c r="K845" s="33"/>
    </row>
    <row r="846" ht="15.75" customHeight="1">
      <c r="G846" s="33"/>
      <c r="K846" s="33"/>
    </row>
    <row r="847" ht="15.75" customHeight="1">
      <c r="G847" s="33"/>
      <c r="K847" s="33"/>
    </row>
    <row r="848" ht="15.75" customHeight="1">
      <c r="G848" s="33"/>
      <c r="K848" s="33"/>
    </row>
    <row r="849" ht="15.75" customHeight="1">
      <c r="G849" s="33"/>
      <c r="K849" s="33"/>
    </row>
    <row r="850" ht="15.75" customHeight="1">
      <c r="G850" s="33"/>
      <c r="K850" s="33"/>
    </row>
    <row r="851" ht="15.75" customHeight="1">
      <c r="G851" s="33"/>
      <c r="K851" s="33"/>
    </row>
    <row r="852" ht="15.75" customHeight="1">
      <c r="G852" s="33"/>
      <c r="K852" s="33"/>
    </row>
    <row r="853" ht="15.75" customHeight="1">
      <c r="G853" s="33"/>
      <c r="K853" s="33"/>
    </row>
    <row r="854" ht="15.75" customHeight="1">
      <c r="G854" s="33"/>
      <c r="K854" s="33"/>
    </row>
    <row r="855" ht="15.75" customHeight="1">
      <c r="G855" s="33"/>
      <c r="K855" s="33"/>
    </row>
    <row r="856" ht="15.75" customHeight="1">
      <c r="G856" s="33"/>
      <c r="K856" s="33"/>
    </row>
    <row r="857" ht="15.75" customHeight="1">
      <c r="G857" s="33"/>
      <c r="K857" s="33"/>
    </row>
    <row r="858" ht="15.75" customHeight="1">
      <c r="G858" s="33"/>
      <c r="K858" s="33"/>
    </row>
    <row r="859" ht="15.75" customHeight="1">
      <c r="G859" s="33"/>
      <c r="K859" s="33"/>
    </row>
    <row r="860" ht="15.75" customHeight="1">
      <c r="G860" s="33"/>
      <c r="K860" s="33"/>
    </row>
    <row r="861" ht="15.75" customHeight="1">
      <c r="G861" s="33"/>
      <c r="K861" s="33"/>
    </row>
    <row r="862" ht="15.75" customHeight="1">
      <c r="G862" s="33"/>
      <c r="K862" s="33"/>
    </row>
    <row r="863" ht="15.75" customHeight="1">
      <c r="G863" s="33"/>
      <c r="K863" s="33"/>
    </row>
    <row r="864" ht="15.75" customHeight="1">
      <c r="G864" s="33"/>
      <c r="K864" s="33"/>
    </row>
    <row r="865" ht="15.75" customHeight="1">
      <c r="G865" s="33"/>
      <c r="K865" s="33"/>
    </row>
    <row r="866" ht="15.75" customHeight="1">
      <c r="G866" s="33"/>
      <c r="K866" s="33"/>
    </row>
    <row r="867" ht="15.75" customHeight="1">
      <c r="G867" s="33"/>
      <c r="K867" s="33"/>
    </row>
    <row r="868" ht="15.75" customHeight="1">
      <c r="G868" s="33"/>
      <c r="K868" s="33"/>
    </row>
    <row r="869" ht="15.75" customHeight="1">
      <c r="G869" s="33"/>
      <c r="K869" s="33"/>
    </row>
    <row r="870" ht="15.75" customHeight="1">
      <c r="G870" s="33"/>
      <c r="K870" s="33"/>
    </row>
    <row r="871" ht="15.75" customHeight="1">
      <c r="G871" s="33"/>
      <c r="K871" s="33"/>
    </row>
    <row r="872" ht="15.75" customHeight="1">
      <c r="G872" s="33"/>
      <c r="K872" s="33"/>
    </row>
    <row r="873" ht="15.75" customHeight="1">
      <c r="G873" s="33"/>
      <c r="K873" s="33"/>
    </row>
    <row r="874" ht="15.75" customHeight="1">
      <c r="G874" s="33"/>
      <c r="K874" s="33"/>
    </row>
    <row r="875" ht="15.75" customHeight="1">
      <c r="G875" s="33"/>
      <c r="K875" s="33"/>
    </row>
    <row r="876" ht="15.75" customHeight="1">
      <c r="G876" s="33"/>
      <c r="K876" s="33"/>
    </row>
    <row r="877" ht="15.75" customHeight="1">
      <c r="G877" s="33"/>
      <c r="K877" s="33"/>
    </row>
    <row r="878" ht="15.75" customHeight="1">
      <c r="G878" s="33"/>
      <c r="K878" s="33"/>
    </row>
    <row r="879" ht="15.75" customHeight="1">
      <c r="G879" s="33"/>
      <c r="K879" s="33"/>
    </row>
    <row r="880" ht="15.75" customHeight="1">
      <c r="G880" s="33"/>
      <c r="K880" s="33"/>
    </row>
    <row r="881" ht="15.75" customHeight="1">
      <c r="G881" s="33"/>
      <c r="K881" s="33"/>
    </row>
    <row r="882" ht="15.75" customHeight="1">
      <c r="G882" s="33"/>
      <c r="K882" s="33"/>
    </row>
    <row r="883" ht="15.75" customHeight="1">
      <c r="G883" s="33"/>
      <c r="K883" s="33"/>
    </row>
    <row r="884" ht="15.75" customHeight="1">
      <c r="G884" s="33"/>
      <c r="K884" s="33"/>
    </row>
    <row r="885" ht="15.75" customHeight="1">
      <c r="G885" s="33"/>
      <c r="K885" s="33"/>
    </row>
    <row r="886" ht="15.75" customHeight="1">
      <c r="G886" s="33"/>
      <c r="K886" s="33"/>
    </row>
    <row r="887" ht="15.75" customHeight="1">
      <c r="G887" s="33"/>
      <c r="K887" s="33"/>
    </row>
    <row r="888" ht="15.75" customHeight="1">
      <c r="G888" s="33"/>
      <c r="K888" s="33"/>
    </row>
    <row r="889" ht="15.75" customHeight="1">
      <c r="G889" s="33"/>
      <c r="K889" s="33"/>
    </row>
    <row r="890" ht="15.75" customHeight="1">
      <c r="G890" s="33"/>
      <c r="K890" s="33"/>
    </row>
    <row r="891" ht="15.75" customHeight="1">
      <c r="G891" s="33"/>
      <c r="K891" s="33"/>
    </row>
    <row r="892" ht="15.75" customHeight="1">
      <c r="G892" s="33"/>
      <c r="K892" s="33"/>
    </row>
    <row r="893" ht="15.75" customHeight="1">
      <c r="G893" s="33"/>
      <c r="K893" s="33"/>
    </row>
    <row r="894" ht="15.75" customHeight="1">
      <c r="G894" s="33"/>
      <c r="K894" s="33"/>
    </row>
    <row r="895" ht="15.75" customHeight="1">
      <c r="G895" s="33"/>
      <c r="K895" s="33"/>
    </row>
    <row r="896" ht="15.75" customHeight="1">
      <c r="G896" s="33"/>
      <c r="K896" s="33"/>
    </row>
    <row r="897" ht="15.75" customHeight="1">
      <c r="G897" s="33"/>
      <c r="K897" s="33"/>
    </row>
    <row r="898" ht="15.75" customHeight="1">
      <c r="G898" s="33"/>
      <c r="K898" s="33"/>
    </row>
    <row r="899" ht="15.75" customHeight="1">
      <c r="G899" s="33"/>
      <c r="K899" s="33"/>
    </row>
    <row r="900" ht="15.75" customHeight="1">
      <c r="G900" s="33"/>
      <c r="K900" s="33"/>
    </row>
    <row r="901" ht="15.75" customHeight="1">
      <c r="G901" s="33"/>
      <c r="K901" s="33"/>
    </row>
    <row r="902" ht="15.75" customHeight="1">
      <c r="G902" s="33"/>
      <c r="K902" s="33"/>
    </row>
    <row r="903" ht="15.75" customHeight="1">
      <c r="G903" s="33"/>
      <c r="K903" s="33"/>
    </row>
    <row r="904" ht="15.75" customHeight="1">
      <c r="G904" s="33"/>
      <c r="K904" s="33"/>
    </row>
    <row r="905" ht="15.75" customHeight="1">
      <c r="G905" s="33"/>
      <c r="K905" s="33"/>
    </row>
    <row r="906" ht="15.75" customHeight="1">
      <c r="G906" s="33"/>
      <c r="K906" s="33"/>
    </row>
    <row r="907" ht="15.75" customHeight="1">
      <c r="G907" s="33"/>
      <c r="K907" s="33"/>
    </row>
    <row r="908" ht="15.75" customHeight="1">
      <c r="G908" s="33"/>
      <c r="K908" s="33"/>
    </row>
    <row r="909" ht="15.75" customHeight="1">
      <c r="G909" s="33"/>
      <c r="K909" s="33"/>
    </row>
    <row r="910" ht="15.75" customHeight="1">
      <c r="G910" s="33"/>
      <c r="K910" s="33"/>
    </row>
    <row r="911" ht="15.75" customHeight="1">
      <c r="G911" s="33"/>
      <c r="K911" s="33"/>
    </row>
    <row r="912" ht="15.75" customHeight="1">
      <c r="G912" s="33"/>
      <c r="K912" s="33"/>
    </row>
    <row r="913" ht="15.75" customHeight="1">
      <c r="G913" s="33"/>
      <c r="K913" s="33"/>
    </row>
    <row r="914" ht="15.75" customHeight="1">
      <c r="G914" s="33"/>
      <c r="K914" s="33"/>
    </row>
    <row r="915" ht="15.75" customHeight="1">
      <c r="G915" s="33"/>
      <c r="K915" s="33"/>
    </row>
    <row r="916" ht="15.75" customHeight="1">
      <c r="G916" s="33"/>
      <c r="K916" s="33"/>
    </row>
    <row r="917" ht="15.75" customHeight="1">
      <c r="G917" s="33"/>
      <c r="K917" s="33"/>
    </row>
    <row r="918" ht="15.75" customHeight="1">
      <c r="G918" s="33"/>
      <c r="K918" s="33"/>
    </row>
    <row r="919" ht="15.75" customHeight="1">
      <c r="G919" s="33"/>
      <c r="K919" s="33"/>
    </row>
    <row r="920" ht="15.75" customHeight="1">
      <c r="G920" s="33"/>
      <c r="K920" s="33"/>
    </row>
    <row r="921" ht="15.75" customHeight="1">
      <c r="G921" s="33"/>
      <c r="K921" s="33"/>
    </row>
    <row r="922" ht="15.75" customHeight="1">
      <c r="G922" s="33"/>
      <c r="K922" s="33"/>
    </row>
    <row r="923" ht="15.75" customHeight="1">
      <c r="G923" s="33"/>
      <c r="K923" s="33"/>
    </row>
    <row r="924" ht="15.75" customHeight="1">
      <c r="G924" s="33"/>
      <c r="K924" s="33"/>
    </row>
    <row r="925" ht="15.75" customHeight="1">
      <c r="G925" s="33"/>
      <c r="K925" s="33"/>
    </row>
    <row r="926" ht="15.75" customHeight="1">
      <c r="G926" s="33"/>
      <c r="K926" s="33"/>
    </row>
    <row r="927" ht="15.75" customHeight="1">
      <c r="G927" s="33"/>
      <c r="K927" s="33"/>
    </row>
    <row r="928" ht="15.75" customHeight="1">
      <c r="G928" s="33"/>
      <c r="K928" s="33"/>
    </row>
    <row r="929" ht="15.75" customHeight="1">
      <c r="G929" s="33"/>
      <c r="K929" s="33"/>
    </row>
    <row r="930" ht="15.75" customHeight="1">
      <c r="G930" s="33"/>
      <c r="K930" s="33"/>
    </row>
    <row r="931" ht="15.75" customHeight="1">
      <c r="G931" s="33"/>
      <c r="K931" s="33"/>
    </row>
    <row r="932" ht="15.75" customHeight="1">
      <c r="G932" s="33"/>
      <c r="K932" s="33"/>
    </row>
    <row r="933" ht="15.75" customHeight="1">
      <c r="G933" s="33"/>
      <c r="K933" s="33"/>
    </row>
    <row r="934" ht="15.75" customHeight="1">
      <c r="G934" s="33"/>
      <c r="K934" s="33"/>
    </row>
    <row r="935" ht="15.75" customHeight="1">
      <c r="G935" s="33"/>
      <c r="K935" s="33"/>
    </row>
    <row r="936" ht="15.75" customHeight="1">
      <c r="G936" s="33"/>
      <c r="K936" s="33"/>
    </row>
    <row r="937" ht="15.75" customHeight="1">
      <c r="G937" s="33"/>
      <c r="K937" s="33"/>
    </row>
    <row r="938" ht="15.75" customHeight="1">
      <c r="G938" s="33"/>
      <c r="K938" s="33"/>
    </row>
    <row r="939" ht="15.75" customHeight="1">
      <c r="G939" s="33"/>
      <c r="K939" s="33"/>
    </row>
    <row r="940" ht="15.75" customHeight="1">
      <c r="G940" s="33"/>
      <c r="K940" s="33"/>
    </row>
    <row r="941" ht="15.75" customHeight="1">
      <c r="G941" s="33"/>
      <c r="K941" s="33"/>
    </row>
    <row r="942" ht="15.75" customHeight="1">
      <c r="G942" s="33"/>
      <c r="K942" s="33"/>
    </row>
    <row r="943" ht="15.75" customHeight="1">
      <c r="G943" s="33"/>
      <c r="K943" s="33"/>
    </row>
    <row r="944" ht="15.75" customHeight="1">
      <c r="G944" s="33"/>
      <c r="K944" s="33"/>
    </row>
    <row r="945" ht="15.75" customHeight="1">
      <c r="G945" s="33"/>
      <c r="K945" s="33"/>
    </row>
    <row r="946" ht="15.75" customHeight="1">
      <c r="G946" s="33"/>
      <c r="K946" s="33"/>
    </row>
    <row r="947" ht="15.75" customHeight="1">
      <c r="G947" s="33"/>
      <c r="K947" s="33"/>
    </row>
    <row r="948" ht="15.75" customHeight="1">
      <c r="G948" s="33"/>
      <c r="K948" s="33"/>
    </row>
    <row r="949" ht="15.75" customHeight="1">
      <c r="G949" s="33"/>
      <c r="K949" s="33"/>
    </row>
    <row r="950" ht="15.75" customHeight="1">
      <c r="G950" s="33"/>
      <c r="K950" s="33"/>
    </row>
    <row r="951" ht="15.75" customHeight="1">
      <c r="G951" s="33"/>
      <c r="K951" s="33"/>
    </row>
    <row r="952" ht="15.75" customHeight="1">
      <c r="G952" s="33"/>
      <c r="K952" s="33"/>
    </row>
    <row r="953" ht="15.75" customHeight="1">
      <c r="G953" s="33"/>
      <c r="K953" s="33"/>
    </row>
    <row r="954" ht="15.75" customHeight="1">
      <c r="G954" s="33"/>
      <c r="K954" s="33"/>
    </row>
    <row r="955" ht="15.75" customHeight="1">
      <c r="G955" s="33"/>
      <c r="K955" s="33"/>
    </row>
    <row r="956" ht="15.75" customHeight="1">
      <c r="G956" s="33"/>
      <c r="K956" s="33"/>
    </row>
    <row r="957" ht="15.75" customHeight="1">
      <c r="G957" s="33"/>
      <c r="K957" s="33"/>
    </row>
    <row r="958" ht="15.75" customHeight="1">
      <c r="G958" s="33"/>
      <c r="K958" s="33"/>
    </row>
    <row r="959" ht="15.75" customHeight="1">
      <c r="G959" s="33"/>
      <c r="K959" s="33"/>
    </row>
    <row r="960" ht="15.75" customHeight="1">
      <c r="G960" s="33"/>
      <c r="K960" s="33"/>
    </row>
    <row r="961" ht="15.75" customHeight="1">
      <c r="G961" s="33"/>
      <c r="K961" s="33"/>
    </row>
    <row r="962" ht="15.75" customHeight="1">
      <c r="G962" s="33"/>
      <c r="K962" s="33"/>
    </row>
    <row r="963" ht="15.75" customHeight="1">
      <c r="G963" s="33"/>
      <c r="K963" s="33"/>
    </row>
    <row r="964" ht="15.75" customHeight="1">
      <c r="G964" s="33"/>
      <c r="K964" s="33"/>
    </row>
    <row r="965" ht="15.75" customHeight="1">
      <c r="G965" s="33"/>
      <c r="K965" s="33"/>
    </row>
    <row r="966" ht="15.75" customHeight="1">
      <c r="G966" s="33"/>
      <c r="K966" s="33"/>
    </row>
    <row r="967" ht="15.75" customHeight="1">
      <c r="G967" s="33"/>
      <c r="K967" s="33"/>
    </row>
    <row r="968" ht="15.75" customHeight="1">
      <c r="G968" s="33"/>
      <c r="K968" s="33"/>
    </row>
    <row r="969" ht="15.75" customHeight="1">
      <c r="G969" s="33"/>
      <c r="K969" s="33"/>
    </row>
    <row r="970" ht="15.75" customHeight="1">
      <c r="G970" s="33"/>
      <c r="K970" s="33"/>
    </row>
    <row r="971" ht="15.75" customHeight="1">
      <c r="G971" s="33"/>
      <c r="K971" s="33"/>
    </row>
    <row r="972" ht="15.75" customHeight="1">
      <c r="G972" s="33"/>
      <c r="K972" s="33"/>
    </row>
    <row r="973" ht="15.75" customHeight="1">
      <c r="G973" s="33"/>
      <c r="K973" s="33"/>
    </row>
    <row r="974" ht="15.75" customHeight="1">
      <c r="G974" s="33"/>
      <c r="K974" s="33"/>
    </row>
    <row r="975" ht="15.75" customHeight="1">
      <c r="G975" s="33"/>
      <c r="K975" s="33"/>
    </row>
    <row r="976" ht="15.75" customHeight="1">
      <c r="G976" s="33"/>
      <c r="K976" s="33"/>
    </row>
    <row r="977" ht="15.75" customHeight="1">
      <c r="G977" s="33"/>
      <c r="K977" s="33"/>
    </row>
    <row r="978" ht="15.75" customHeight="1">
      <c r="G978" s="33"/>
      <c r="K978" s="33"/>
    </row>
    <row r="979" ht="15.75" customHeight="1">
      <c r="G979" s="33"/>
      <c r="K979" s="33"/>
    </row>
    <row r="980" ht="15.75" customHeight="1">
      <c r="G980" s="33"/>
      <c r="K980" s="33"/>
    </row>
    <row r="981" ht="15.75" customHeight="1">
      <c r="G981" s="33"/>
      <c r="K981" s="33"/>
    </row>
    <row r="982" ht="15.75" customHeight="1">
      <c r="G982" s="33"/>
      <c r="K982" s="33"/>
    </row>
    <row r="983" ht="15.75" customHeight="1">
      <c r="G983" s="33"/>
      <c r="K983" s="33"/>
    </row>
    <row r="984" ht="15.75" customHeight="1">
      <c r="G984" s="33"/>
      <c r="K984" s="33"/>
    </row>
    <row r="985" ht="15.75" customHeight="1">
      <c r="G985" s="33"/>
      <c r="K985" s="33"/>
    </row>
    <row r="986" ht="15.75" customHeight="1">
      <c r="G986" s="33"/>
      <c r="K986" s="33"/>
    </row>
    <row r="987" ht="15.75" customHeight="1">
      <c r="G987" s="33"/>
      <c r="K987" s="33"/>
    </row>
    <row r="988" ht="15.75" customHeight="1">
      <c r="G988" s="33"/>
      <c r="K988" s="33"/>
    </row>
    <row r="989" ht="15.75" customHeight="1">
      <c r="G989" s="33"/>
      <c r="K989" s="33"/>
    </row>
    <row r="990" ht="15.75" customHeight="1">
      <c r="G990" s="33"/>
      <c r="K990" s="33"/>
    </row>
    <row r="991" ht="15.75" customHeight="1">
      <c r="G991" s="33"/>
      <c r="K991" s="33"/>
    </row>
    <row r="992" ht="15.75" customHeight="1">
      <c r="G992" s="33"/>
      <c r="K992" s="33"/>
    </row>
    <row r="993" ht="15.75" customHeight="1">
      <c r="G993" s="33"/>
      <c r="K993" s="33"/>
    </row>
    <row r="994" ht="15.75" customHeight="1">
      <c r="G994" s="33"/>
      <c r="K994" s="33"/>
    </row>
    <row r="995" ht="15.75" customHeight="1">
      <c r="K995" s="33"/>
    </row>
    <row r="996" ht="15.75" customHeight="1">
      <c r="K996" s="33"/>
    </row>
    <row r="997" ht="15.75" customHeight="1">
      <c r="K997" s="33"/>
    </row>
    <row r="998" ht="15.75" customHeight="1">
      <c r="K998" s="33"/>
    </row>
    <row r="999" ht="15.75" customHeight="1">
      <c r="K999" s="33"/>
    </row>
    <row r="1000" ht="15.75" customHeight="1">
      <c r="K1000" s="33"/>
    </row>
  </sheetData>
  <mergeCells count="2">
    <mergeCell ref="E2:L2"/>
    <mergeCell ref="E3:L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0"/>
  <cols>
    <col customWidth="1" min="1" max="3" width="4.0"/>
    <col customWidth="1" min="4" max="4" width="40.0"/>
    <col customWidth="1" min="5" max="5" width="10.0"/>
    <col customWidth="1" min="6" max="6" width="18.0"/>
    <col customWidth="1" min="7" max="7" width="12.0"/>
    <col customWidth="1" min="8" max="9" width="22.0"/>
    <col customWidth="1" min="10" max="10" width="10.0"/>
    <col customWidth="1" min="11" max="11" width="14.0"/>
    <col customWidth="1" min="12" max="12" width="22.0"/>
    <col customWidth="1" min="13" max="26" width="14.38"/>
  </cols>
  <sheetData>
    <row r="1" ht="33.75" customHeight="1">
      <c r="A1" s="1"/>
      <c r="E1" s="2" t="s">
        <v>0</v>
      </c>
      <c r="F1" s="3"/>
      <c r="G1" s="3"/>
      <c r="H1" s="3"/>
      <c r="I1" s="3"/>
      <c r="J1" s="3"/>
      <c r="K1" s="3"/>
      <c r="L1" s="4"/>
    </row>
    <row r="2" ht="33.75" customHeight="1">
      <c r="A2" s="5"/>
      <c r="B2" s="6"/>
      <c r="C2" s="6"/>
      <c r="D2" s="6"/>
      <c r="E2" s="7" t="s">
        <v>109</v>
      </c>
      <c r="F2" s="8"/>
      <c r="G2" s="8"/>
      <c r="H2" s="8"/>
      <c r="I2" s="8"/>
      <c r="J2" s="8"/>
      <c r="K2" s="8"/>
      <c r="L2" s="9"/>
    </row>
    <row r="3" ht="33.75" customHeight="1">
      <c r="A3" s="5"/>
      <c r="B3" s="6"/>
      <c r="C3" s="10"/>
      <c r="D3" s="6"/>
      <c r="E3" s="6"/>
      <c r="F3" s="6"/>
      <c r="G3" s="6"/>
      <c r="H3" s="6"/>
      <c r="I3" s="6"/>
      <c r="J3" s="6"/>
      <c r="K3" s="6"/>
      <c r="L3" s="10"/>
    </row>
    <row r="4" ht="33.75" customHeight="1">
      <c r="A4" s="5"/>
      <c r="D4" s="11"/>
    </row>
    <row r="5" ht="33.75" customHeight="1">
      <c r="A5" s="5"/>
      <c r="D5" s="12" t="s">
        <v>2</v>
      </c>
      <c r="E5" s="12" t="s">
        <v>3</v>
      </c>
      <c r="F5" s="12" t="s">
        <v>74</v>
      </c>
      <c r="G5" s="12" t="s">
        <v>75</v>
      </c>
      <c r="H5" s="12" t="s">
        <v>41</v>
      </c>
      <c r="I5" s="12" t="s">
        <v>42</v>
      </c>
      <c r="J5" s="12" t="s">
        <v>76</v>
      </c>
      <c r="K5" s="12" t="s">
        <v>8</v>
      </c>
      <c r="L5" s="12" t="s">
        <v>9</v>
      </c>
    </row>
    <row r="6" ht="37.5" customHeight="1">
      <c r="A6" s="5"/>
      <c r="D6" s="14" t="s">
        <v>110</v>
      </c>
      <c r="E6" s="15" t="s">
        <v>16</v>
      </c>
      <c r="F6" s="15"/>
      <c r="G6" s="15"/>
      <c r="H6" s="15"/>
      <c r="I6" s="15"/>
      <c r="J6" s="17">
        <f t="shared" ref="J6:J29" si="1">SUM(F6:I6)</f>
        <v>0</v>
      </c>
      <c r="K6" s="18">
        <f t="shared" ref="K6:K29" si="2">J6/40</f>
        <v>0</v>
      </c>
      <c r="L6" s="15"/>
    </row>
    <row r="7" ht="31.5" customHeight="1">
      <c r="A7" s="21"/>
      <c r="B7" s="22"/>
      <c r="C7" s="22"/>
      <c r="D7" s="14" t="s">
        <v>111</v>
      </c>
      <c r="E7" s="19" t="s">
        <v>18</v>
      </c>
      <c r="F7" s="19"/>
      <c r="G7" s="19"/>
      <c r="H7" s="19"/>
      <c r="I7" s="19"/>
      <c r="J7" s="17">
        <f t="shared" si="1"/>
        <v>0</v>
      </c>
      <c r="K7" s="18">
        <f t="shared" si="2"/>
        <v>0</v>
      </c>
      <c r="L7" s="19"/>
    </row>
    <row r="8">
      <c r="A8" s="21"/>
      <c r="D8" s="14" t="s">
        <v>112</v>
      </c>
      <c r="E8" s="15" t="s">
        <v>16</v>
      </c>
      <c r="F8" s="15"/>
      <c r="G8" s="15"/>
      <c r="H8" s="15"/>
      <c r="I8" s="15"/>
      <c r="J8" s="17">
        <f t="shared" si="1"/>
        <v>0</v>
      </c>
      <c r="K8" s="18">
        <f t="shared" si="2"/>
        <v>0</v>
      </c>
      <c r="L8" s="15"/>
    </row>
    <row r="9">
      <c r="A9" s="5"/>
      <c r="B9" s="22"/>
      <c r="C9" s="22"/>
      <c r="D9" s="14" t="s">
        <v>113</v>
      </c>
      <c r="E9" s="19" t="s">
        <v>16</v>
      </c>
      <c r="F9" s="19"/>
      <c r="G9" s="19"/>
      <c r="H9" s="19"/>
      <c r="I9" s="19"/>
      <c r="J9" s="17">
        <f t="shared" si="1"/>
        <v>0</v>
      </c>
      <c r="K9" s="18">
        <f t="shared" si="2"/>
        <v>0</v>
      </c>
      <c r="L9" s="19"/>
    </row>
    <row r="10">
      <c r="A10" s="5"/>
      <c r="D10" s="14" t="s">
        <v>114</v>
      </c>
      <c r="E10" s="15" t="s">
        <v>23</v>
      </c>
      <c r="F10" s="16">
        <v>10.0</v>
      </c>
      <c r="G10" s="16">
        <v>10.0</v>
      </c>
      <c r="H10" s="16">
        <v>10.0</v>
      </c>
      <c r="I10" s="16">
        <v>10.0</v>
      </c>
      <c r="J10" s="17">
        <f t="shared" si="1"/>
        <v>40</v>
      </c>
      <c r="K10" s="18">
        <f t="shared" si="2"/>
        <v>1</v>
      </c>
      <c r="L10" s="15"/>
    </row>
    <row r="11">
      <c r="B11" s="22"/>
      <c r="C11" s="22"/>
      <c r="D11" s="14" t="s">
        <v>115</v>
      </c>
      <c r="E11" s="19" t="s">
        <v>20</v>
      </c>
      <c r="F11" s="19"/>
      <c r="G11" s="19"/>
      <c r="H11" s="19"/>
      <c r="I11" s="19"/>
      <c r="J11" s="17">
        <f t="shared" si="1"/>
        <v>0</v>
      </c>
      <c r="K11" s="18">
        <f t="shared" si="2"/>
        <v>0</v>
      </c>
      <c r="L11" s="19"/>
    </row>
    <row r="12">
      <c r="A12" s="22"/>
      <c r="D12" s="14" t="s">
        <v>116</v>
      </c>
      <c r="E12" s="15" t="s">
        <v>23</v>
      </c>
      <c r="F12" s="15"/>
      <c r="G12" s="15"/>
      <c r="H12" s="16">
        <v>10.0</v>
      </c>
      <c r="I12" s="16">
        <v>8.0</v>
      </c>
      <c r="J12" s="17">
        <f t="shared" si="1"/>
        <v>18</v>
      </c>
      <c r="K12" s="18">
        <f t="shared" si="2"/>
        <v>0.45</v>
      </c>
      <c r="L12" s="15"/>
    </row>
    <row r="13">
      <c r="B13" s="22"/>
      <c r="C13" s="22"/>
      <c r="D13" s="14" t="s">
        <v>117</v>
      </c>
      <c r="E13" s="19" t="s">
        <v>23</v>
      </c>
      <c r="F13" s="20">
        <v>10.0</v>
      </c>
      <c r="G13" s="20">
        <v>9.0</v>
      </c>
      <c r="H13" s="20">
        <v>9.0</v>
      </c>
      <c r="I13" s="20">
        <v>10.0</v>
      </c>
      <c r="J13" s="17">
        <f t="shared" si="1"/>
        <v>38</v>
      </c>
      <c r="K13" s="18">
        <f t="shared" si="2"/>
        <v>0.95</v>
      </c>
      <c r="L13" s="19"/>
    </row>
    <row r="14">
      <c r="A14" s="22"/>
      <c r="D14" s="14" t="s">
        <v>118</v>
      </c>
      <c r="E14" s="15" t="s">
        <v>23</v>
      </c>
      <c r="F14" s="15"/>
      <c r="G14" s="15"/>
      <c r="H14" s="15"/>
      <c r="I14" s="15"/>
      <c r="J14" s="17">
        <f t="shared" si="1"/>
        <v>0</v>
      </c>
      <c r="K14" s="18">
        <f t="shared" si="2"/>
        <v>0</v>
      </c>
      <c r="L14" s="15"/>
    </row>
    <row r="15">
      <c r="B15" s="22"/>
      <c r="C15" s="22"/>
      <c r="D15" s="14" t="s">
        <v>119</v>
      </c>
      <c r="E15" s="19" t="s">
        <v>16</v>
      </c>
      <c r="F15" s="19"/>
      <c r="G15" s="19"/>
      <c r="H15" s="19"/>
      <c r="I15" s="19"/>
      <c r="J15" s="17">
        <f t="shared" si="1"/>
        <v>0</v>
      </c>
      <c r="K15" s="18">
        <f t="shared" si="2"/>
        <v>0</v>
      </c>
      <c r="L15" s="19"/>
    </row>
    <row r="16">
      <c r="A16" s="22"/>
      <c r="D16" s="14" t="s">
        <v>120</v>
      </c>
      <c r="E16" s="15" t="s">
        <v>20</v>
      </c>
      <c r="F16" s="15"/>
      <c r="G16" s="15"/>
      <c r="H16" s="15"/>
      <c r="I16" s="15"/>
      <c r="J16" s="17">
        <f t="shared" si="1"/>
        <v>0</v>
      </c>
      <c r="K16" s="18">
        <f t="shared" si="2"/>
        <v>0</v>
      </c>
      <c r="L16" s="15"/>
    </row>
    <row r="17">
      <c r="B17" s="22"/>
      <c r="C17" s="22"/>
      <c r="D17" s="14" t="s">
        <v>121</v>
      </c>
      <c r="E17" s="19" t="s">
        <v>20</v>
      </c>
      <c r="F17" s="19"/>
      <c r="G17" s="19"/>
      <c r="H17" s="19"/>
      <c r="I17" s="19"/>
      <c r="J17" s="17">
        <f t="shared" si="1"/>
        <v>0</v>
      </c>
      <c r="K17" s="18">
        <f t="shared" si="2"/>
        <v>0</v>
      </c>
      <c r="L17" s="19"/>
    </row>
    <row r="18">
      <c r="A18" s="22"/>
      <c r="D18" s="14" t="s">
        <v>22</v>
      </c>
      <c r="E18" s="15" t="s">
        <v>23</v>
      </c>
      <c r="F18" s="16">
        <v>10.0</v>
      </c>
      <c r="G18" s="16">
        <v>10.0</v>
      </c>
      <c r="H18" s="16">
        <v>7.0</v>
      </c>
      <c r="I18" s="16">
        <v>7.0</v>
      </c>
      <c r="J18" s="17">
        <f t="shared" si="1"/>
        <v>34</v>
      </c>
      <c r="K18" s="18">
        <f t="shared" si="2"/>
        <v>0.85</v>
      </c>
      <c r="L18" s="15"/>
    </row>
    <row r="19">
      <c r="B19" s="22"/>
      <c r="C19" s="22"/>
      <c r="D19" s="14" t="s">
        <v>122</v>
      </c>
      <c r="E19" s="19" t="s">
        <v>16</v>
      </c>
      <c r="F19" s="20">
        <v>10.0</v>
      </c>
      <c r="G19" s="20">
        <v>10.0</v>
      </c>
      <c r="H19" s="20">
        <v>10.0</v>
      </c>
      <c r="I19" s="20">
        <v>10.0</v>
      </c>
      <c r="J19" s="17">
        <f t="shared" si="1"/>
        <v>40</v>
      </c>
      <c r="K19" s="18">
        <f t="shared" si="2"/>
        <v>1</v>
      </c>
      <c r="L19" s="19"/>
    </row>
    <row r="20">
      <c r="A20" s="22"/>
      <c r="D20" s="14" t="s">
        <v>123</v>
      </c>
      <c r="E20" s="15" t="s">
        <v>23</v>
      </c>
      <c r="F20" s="16">
        <v>8.0</v>
      </c>
      <c r="G20" s="16">
        <v>10.0</v>
      </c>
      <c r="H20" s="16">
        <v>4.0</v>
      </c>
      <c r="I20" s="16">
        <v>2.0</v>
      </c>
      <c r="J20" s="17">
        <f t="shared" si="1"/>
        <v>24</v>
      </c>
      <c r="K20" s="18">
        <f t="shared" si="2"/>
        <v>0.6</v>
      </c>
      <c r="L20" s="15"/>
    </row>
    <row r="21" ht="15.75" customHeight="1">
      <c r="B21" s="22"/>
      <c r="C21" s="22"/>
      <c r="D21" s="14" t="s">
        <v>124</v>
      </c>
      <c r="E21" s="19" t="s">
        <v>23</v>
      </c>
      <c r="F21" s="20">
        <v>8.0</v>
      </c>
      <c r="G21" s="20">
        <v>0.0</v>
      </c>
      <c r="H21" s="20">
        <v>6.0</v>
      </c>
      <c r="I21" s="20">
        <v>2.5</v>
      </c>
      <c r="J21" s="17">
        <f t="shared" si="1"/>
        <v>16.5</v>
      </c>
      <c r="K21" s="18">
        <f t="shared" si="2"/>
        <v>0.4125</v>
      </c>
      <c r="L21" s="19"/>
    </row>
    <row r="22" ht="15.75" customHeight="1">
      <c r="A22" s="22"/>
      <c r="D22" s="14" t="s">
        <v>125</v>
      </c>
      <c r="E22" s="15" t="s">
        <v>23</v>
      </c>
      <c r="F22" s="16">
        <v>10.0</v>
      </c>
      <c r="G22" s="16">
        <v>9.0</v>
      </c>
      <c r="H22" s="15"/>
      <c r="I22" s="15"/>
      <c r="J22" s="17">
        <f t="shared" si="1"/>
        <v>19</v>
      </c>
      <c r="K22" s="18">
        <f t="shared" si="2"/>
        <v>0.475</v>
      </c>
      <c r="L22" s="15"/>
    </row>
    <row r="23" ht="15.75" customHeight="1">
      <c r="B23" s="22"/>
      <c r="C23" s="22"/>
      <c r="D23" s="14" t="s">
        <v>126</v>
      </c>
      <c r="E23" s="19" t="s">
        <v>16</v>
      </c>
      <c r="F23" s="19"/>
      <c r="G23" s="19"/>
      <c r="H23" s="19"/>
      <c r="I23" s="19"/>
      <c r="J23" s="17">
        <f t="shared" si="1"/>
        <v>0</v>
      </c>
      <c r="K23" s="18">
        <f t="shared" si="2"/>
        <v>0</v>
      </c>
      <c r="L23" s="19"/>
    </row>
    <row r="24" ht="15.75" customHeight="1">
      <c r="A24" s="22"/>
      <c r="D24" s="14" t="s">
        <v>127</v>
      </c>
      <c r="E24" s="15" t="s">
        <v>18</v>
      </c>
      <c r="F24" s="15"/>
      <c r="G24" s="15"/>
      <c r="H24" s="15"/>
      <c r="I24" s="15"/>
      <c r="J24" s="17">
        <f t="shared" si="1"/>
        <v>0</v>
      </c>
      <c r="K24" s="18">
        <f t="shared" si="2"/>
        <v>0</v>
      </c>
      <c r="L24" s="15"/>
    </row>
    <row r="25" ht="15.75" customHeight="1">
      <c r="B25" s="22"/>
      <c r="C25" s="22"/>
      <c r="D25" s="23" t="s">
        <v>128</v>
      </c>
      <c r="E25" s="20" t="s">
        <v>23</v>
      </c>
      <c r="F25" s="20">
        <v>10.0</v>
      </c>
      <c r="G25" s="20">
        <v>9.5</v>
      </c>
      <c r="H25" s="20">
        <v>9.0</v>
      </c>
      <c r="I25" s="20">
        <v>10.0</v>
      </c>
      <c r="J25" s="17">
        <f t="shared" si="1"/>
        <v>38.5</v>
      </c>
      <c r="K25" s="18">
        <f t="shared" si="2"/>
        <v>0.9625</v>
      </c>
      <c r="L25" s="19"/>
    </row>
    <row r="26" ht="15.75" customHeight="1">
      <c r="A26" s="22"/>
      <c r="D26" s="23" t="s">
        <v>129</v>
      </c>
      <c r="E26" s="16" t="s">
        <v>23</v>
      </c>
      <c r="F26" s="16">
        <v>10.0</v>
      </c>
      <c r="G26" s="16">
        <v>8.5</v>
      </c>
      <c r="H26" s="16">
        <v>9.0</v>
      </c>
      <c r="I26" s="16">
        <v>10.0</v>
      </c>
      <c r="J26" s="17">
        <f t="shared" si="1"/>
        <v>37.5</v>
      </c>
      <c r="K26" s="18">
        <f t="shared" si="2"/>
        <v>0.9375</v>
      </c>
      <c r="L26" s="15"/>
    </row>
    <row r="27" ht="15.75" customHeight="1">
      <c r="B27" s="22"/>
      <c r="C27" s="22"/>
      <c r="D27" s="23" t="s">
        <v>130</v>
      </c>
      <c r="E27" s="20" t="s">
        <v>23</v>
      </c>
      <c r="F27" s="20">
        <v>10.0</v>
      </c>
      <c r="G27" s="20">
        <v>10.0</v>
      </c>
      <c r="H27" s="20">
        <v>9.0</v>
      </c>
      <c r="I27" s="20">
        <v>7.5</v>
      </c>
      <c r="J27" s="17">
        <f t="shared" si="1"/>
        <v>36.5</v>
      </c>
      <c r="K27" s="18">
        <f t="shared" si="2"/>
        <v>0.9125</v>
      </c>
      <c r="L27" s="19"/>
    </row>
    <row r="28" ht="15.75" customHeight="1">
      <c r="A28" s="22"/>
      <c r="D28" s="14"/>
      <c r="E28" s="15"/>
      <c r="F28" s="15"/>
      <c r="G28" s="15"/>
      <c r="H28" s="15"/>
      <c r="I28" s="15"/>
      <c r="J28" s="17">
        <f t="shared" si="1"/>
        <v>0</v>
      </c>
      <c r="K28" s="18">
        <f t="shared" si="2"/>
        <v>0</v>
      </c>
      <c r="L28" s="15"/>
    </row>
    <row r="29" ht="15.75" customHeight="1">
      <c r="B29" s="22"/>
      <c r="C29" s="22"/>
      <c r="D29" s="14"/>
      <c r="E29" s="19"/>
      <c r="F29" s="19"/>
      <c r="G29" s="19"/>
      <c r="H29" s="19"/>
      <c r="I29" s="19"/>
      <c r="J29" s="17">
        <f t="shared" si="1"/>
        <v>0</v>
      </c>
      <c r="K29" s="18">
        <f t="shared" si="2"/>
        <v>0</v>
      </c>
      <c r="L29" s="19"/>
    </row>
    <row r="30" ht="15.75" customHeight="1">
      <c r="A30" s="22"/>
    </row>
    <row r="31" ht="15.75" customHeight="1"/>
    <row r="32" ht="15.75" customHeight="1">
      <c r="A32" s="22"/>
    </row>
    <row r="33" ht="15.75" customHeight="1"/>
    <row r="34" ht="15.75" customHeight="1">
      <c r="A34" s="22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1:L1"/>
    <mergeCell ref="E2:L2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0"/>
  <cols>
    <col customWidth="1" min="1" max="3" width="4.0"/>
    <col customWidth="1" min="4" max="4" width="40.0"/>
    <col customWidth="1" min="5" max="5" width="10.0"/>
    <col customWidth="1" min="6" max="6" width="18.0"/>
    <col customWidth="1" min="7" max="7" width="12.0"/>
    <col customWidth="1" min="8" max="9" width="22.0"/>
    <col customWidth="1" min="10" max="10" width="10.0"/>
    <col customWidth="1" min="11" max="11" width="14.0"/>
    <col customWidth="1" min="12" max="12" width="22.0"/>
    <col customWidth="1" min="13" max="26" width="14.38"/>
  </cols>
  <sheetData>
    <row r="1" ht="33.75" customHeight="1">
      <c r="A1" s="1"/>
    </row>
    <row r="2" ht="33.75" customHeight="1">
      <c r="A2" s="5"/>
    </row>
    <row r="3" ht="33.75" customHeight="1">
      <c r="A3" s="5"/>
      <c r="B3" s="38"/>
      <c r="C3" s="3"/>
      <c r="D3" s="3"/>
      <c r="E3" s="3"/>
      <c r="F3" s="3"/>
      <c r="G3" s="3"/>
      <c r="H3" s="3"/>
      <c r="I3" s="3"/>
      <c r="J3" s="3"/>
      <c r="K3" s="3"/>
      <c r="L3" s="4"/>
    </row>
    <row r="4" ht="33.75" customHeight="1">
      <c r="A4" s="5"/>
      <c r="E4" s="2" t="s">
        <v>0</v>
      </c>
      <c r="F4" s="3"/>
      <c r="G4" s="3"/>
      <c r="H4" s="3"/>
      <c r="I4" s="3"/>
      <c r="J4" s="3"/>
      <c r="K4" s="3"/>
      <c r="L4" s="4"/>
    </row>
    <row r="5" ht="33.75" customHeight="1">
      <c r="A5" s="5"/>
      <c r="D5" s="6"/>
      <c r="E5" s="7" t="s">
        <v>131</v>
      </c>
      <c r="F5" s="8"/>
      <c r="G5" s="8"/>
      <c r="H5" s="8"/>
      <c r="I5" s="8"/>
      <c r="J5" s="8"/>
      <c r="K5" s="8"/>
      <c r="L5" s="9"/>
    </row>
    <row r="6" ht="37.5" customHeight="1">
      <c r="A6" s="5"/>
      <c r="D6" s="12" t="s">
        <v>2</v>
      </c>
      <c r="E6" s="12" t="s">
        <v>3</v>
      </c>
      <c r="F6" s="12" t="s">
        <v>74</v>
      </c>
      <c r="G6" s="12" t="s">
        <v>75</v>
      </c>
      <c r="H6" s="12" t="s">
        <v>41</v>
      </c>
      <c r="I6" s="12" t="s">
        <v>42</v>
      </c>
      <c r="J6" s="12" t="s">
        <v>76</v>
      </c>
      <c r="K6" s="12" t="s">
        <v>8</v>
      </c>
      <c r="L6" s="12" t="s">
        <v>9</v>
      </c>
    </row>
    <row r="7" ht="31.5" customHeight="1">
      <c r="A7" s="21"/>
      <c r="B7" s="6"/>
      <c r="C7" s="6"/>
      <c r="D7" s="14" t="s">
        <v>132</v>
      </c>
      <c r="E7" s="15" t="s">
        <v>16</v>
      </c>
      <c r="F7" s="16">
        <v>0.0</v>
      </c>
      <c r="G7" s="15"/>
      <c r="H7" s="15"/>
      <c r="I7" s="15"/>
      <c r="J7" s="17">
        <f t="shared" ref="J7:J17" si="1">SUM(F7:I7)</f>
        <v>0</v>
      </c>
      <c r="K7" s="18">
        <f t="shared" ref="K7:K17" si="2">J7/40</f>
        <v>0</v>
      </c>
      <c r="L7" s="15"/>
    </row>
    <row r="8">
      <c r="A8" s="21"/>
      <c r="B8" s="6"/>
      <c r="C8" s="10"/>
      <c r="D8" s="14" t="s">
        <v>133</v>
      </c>
      <c r="E8" s="19" t="s">
        <v>20</v>
      </c>
      <c r="F8" s="20">
        <v>10.0</v>
      </c>
      <c r="G8" s="20">
        <v>7.0</v>
      </c>
      <c r="H8" s="20">
        <v>9.0</v>
      </c>
      <c r="I8" s="20">
        <v>7.5</v>
      </c>
      <c r="J8" s="17">
        <f t="shared" si="1"/>
        <v>33.5</v>
      </c>
      <c r="K8" s="18">
        <f t="shared" si="2"/>
        <v>0.8375</v>
      </c>
      <c r="L8" s="19"/>
    </row>
    <row r="9">
      <c r="A9" s="5"/>
      <c r="D9" s="14" t="s">
        <v>134</v>
      </c>
      <c r="E9" s="15" t="s">
        <v>16</v>
      </c>
      <c r="F9" s="16">
        <v>0.0</v>
      </c>
      <c r="G9" s="16">
        <v>0.0</v>
      </c>
      <c r="H9" s="16" t="s">
        <v>135</v>
      </c>
      <c r="I9" s="16" t="s">
        <v>135</v>
      </c>
      <c r="J9" s="17">
        <f t="shared" si="1"/>
        <v>0</v>
      </c>
      <c r="K9" s="18">
        <f t="shared" si="2"/>
        <v>0</v>
      </c>
      <c r="L9" s="15"/>
    </row>
    <row r="10">
      <c r="A10" s="5"/>
      <c r="D10" s="14" t="s">
        <v>136</v>
      </c>
      <c r="E10" s="19" t="s">
        <v>20</v>
      </c>
      <c r="F10" s="20">
        <v>0.0</v>
      </c>
      <c r="G10" s="20">
        <v>0.0</v>
      </c>
      <c r="H10" s="20" t="s">
        <v>135</v>
      </c>
      <c r="I10" s="20">
        <v>4.0</v>
      </c>
      <c r="J10" s="17">
        <f t="shared" si="1"/>
        <v>4</v>
      </c>
      <c r="K10" s="18">
        <f t="shared" si="2"/>
        <v>0.1</v>
      </c>
      <c r="L10" s="19"/>
    </row>
    <row r="11">
      <c r="D11" s="14" t="s">
        <v>137</v>
      </c>
      <c r="E11" s="15" t="s">
        <v>23</v>
      </c>
      <c r="F11" s="16">
        <v>8.0</v>
      </c>
      <c r="G11" s="16">
        <v>8.0</v>
      </c>
      <c r="H11" s="16">
        <v>7.0</v>
      </c>
      <c r="I11" s="16">
        <v>8.5</v>
      </c>
      <c r="J11" s="17">
        <f t="shared" si="1"/>
        <v>31.5</v>
      </c>
      <c r="K11" s="18">
        <f t="shared" si="2"/>
        <v>0.7875</v>
      </c>
      <c r="L11" s="15"/>
    </row>
    <row r="12">
      <c r="A12" s="22"/>
      <c r="B12" s="22"/>
      <c r="C12" s="22"/>
      <c r="D12" s="14" t="s">
        <v>138</v>
      </c>
      <c r="E12" s="19" t="s">
        <v>23</v>
      </c>
      <c r="F12" s="20">
        <v>10.0</v>
      </c>
      <c r="G12" s="20">
        <v>9.0</v>
      </c>
      <c r="H12" s="20">
        <v>9.0</v>
      </c>
      <c r="I12" s="20">
        <v>9.5</v>
      </c>
      <c r="J12" s="17">
        <f t="shared" si="1"/>
        <v>37.5</v>
      </c>
      <c r="K12" s="18">
        <f t="shared" si="2"/>
        <v>0.9375</v>
      </c>
      <c r="L12" s="19"/>
    </row>
    <row r="13">
      <c r="D13" s="23" t="s">
        <v>139</v>
      </c>
      <c r="E13" s="15"/>
      <c r="F13" s="16">
        <v>7.0</v>
      </c>
      <c r="G13" s="16">
        <v>4.0</v>
      </c>
      <c r="H13" s="16">
        <v>6.0</v>
      </c>
      <c r="I13" s="16">
        <v>5.0</v>
      </c>
      <c r="J13" s="17">
        <f t="shared" si="1"/>
        <v>22</v>
      </c>
      <c r="K13" s="18">
        <f t="shared" si="2"/>
        <v>0.55</v>
      </c>
      <c r="L13" s="15"/>
    </row>
    <row r="14">
      <c r="A14" s="22"/>
      <c r="B14" s="22"/>
      <c r="C14" s="22"/>
      <c r="D14" s="14"/>
      <c r="E14" s="19"/>
      <c r="F14" s="19"/>
      <c r="G14" s="19"/>
      <c r="H14" s="19"/>
      <c r="I14" s="19"/>
      <c r="J14" s="17">
        <f t="shared" si="1"/>
        <v>0</v>
      </c>
      <c r="K14" s="18">
        <f t="shared" si="2"/>
        <v>0</v>
      </c>
      <c r="L14" s="19"/>
    </row>
    <row r="15">
      <c r="D15" s="14"/>
      <c r="E15" s="15"/>
      <c r="F15" s="15"/>
      <c r="G15" s="15"/>
      <c r="H15" s="15"/>
      <c r="I15" s="15"/>
      <c r="J15" s="17">
        <f t="shared" si="1"/>
        <v>0</v>
      </c>
      <c r="K15" s="18">
        <f t="shared" si="2"/>
        <v>0</v>
      </c>
      <c r="L15" s="15"/>
    </row>
    <row r="16">
      <c r="A16" s="22"/>
      <c r="B16" s="22"/>
      <c r="C16" s="22"/>
      <c r="D16" s="14"/>
      <c r="E16" s="19"/>
      <c r="F16" s="19"/>
      <c r="G16" s="19"/>
      <c r="H16" s="19"/>
      <c r="I16" s="19"/>
      <c r="J16" s="17">
        <f t="shared" si="1"/>
        <v>0</v>
      </c>
      <c r="K16" s="18">
        <f t="shared" si="2"/>
        <v>0</v>
      </c>
      <c r="L16" s="19"/>
    </row>
    <row r="17">
      <c r="D17" s="14"/>
      <c r="E17" s="15"/>
      <c r="F17" s="15"/>
      <c r="G17" s="15"/>
      <c r="H17" s="15"/>
      <c r="I17" s="15"/>
      <c r="J17" s="17">
        <f t="shared" si="1"/>
        <v>0</v>
      </c>
      <c r="K17" s="18">
        <f t="shared" si="2"/>
        <v>0</v>
      </c>
      <c r="L17" s="15"/>
    </row>
    <row r="18">
      <c r="A18" s="22"/>
      <c r="B18" s="22"/>
      <c r="C18" s="22"/>
    </row>
    <row r="20">
      <c r="A20" s="22"/>
      <c r="B20" s="22"/>
      <c r="C20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1:L2"/>
    <mergeCell ref="B3:L3"/>
    <mergeCell ref="E4:L4"/>
    <mergeCell ref="E5:L5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0"/>
  <cols>
    <col customWidth="1" min="1" max="3" width="4.0"/>
    <col customWidth="1" min="4" max="4" width="40.0"/>
    <col customWidth="1" min="5" max="5" width="10.0"/>
    <col customWidth="1" min="6" max="6" width="18.0"/>
    <col customWidth="1" min="7" max="7" width="12.0"/>
    <col customWidth="1" min="8" max="9" width="22.0"/>
    <col customWidth="1" min="10" max="10" width="10.0"/>
    <col customWidth="1" min="11" max="11" width="14.0"/>
    <col customWidth="1" min="12" max="12" width="22.0"/>
    <col customWidth="1" min="13" max="26" width="14.38"/>
  </cols>
  <sheetData>
    <row r="1" ht="33.75" customHeight="1">
      <c r="A1" s="1"/>
      <c r="E1" s="2" t="s">
        <v>0</v>
      </c>
      <c r="F1" s="3"/>
      <c r="G1" s="3"/>
      <c r="H1" s="3"/>
      <c r="I1" s="3"/>
      <c r="J1" s="3"/>
      <c r="K1" s="3"/>
      <c r="L1" s="4"/>
    </row>
    <row r="2" ht="33.75" customHeight="1">
      <c r="A2" s="5"/>
      <c r="D2" s="6"/>
      <c r="E2" s="7" t="s">
        <v>140</v>
      </c>
      <c r="F2" s="8"/>
      <c r="G2" s="8"/>
      <c r="H2" s="8"/>
      <c r="I2" s="8"/>
      <c r="J2" s="8"/>
      <c r="K2" s="8"/>
      <c r="L2" s="9"/>
    </row>
    <row r="3" ht="33.75" customHeight="1">
      <c r="A3" s="5"/>
      <c r="B3" s="6"/>
      <c r="C3" s="6"/>
      <c r="D3" s="11"/>
    </row>
    <row r="4" ht="33.75" customHeight="1">
      <c r="A4" s="5"/>
      <c r="B4" s="6"/>
      <c r="C4" s="10"/>
      <c r="D4" s="39" t="s">
        <v>2</v>
      </c>
      <c r="E4" s="39" t="s">
        <v>3</v>
      </c>
      <c r="F4" s="39" t="s">
        <v>74</v>
      </c>
      <c r="G4" s="39" t="s">
        <v>75</v>
      </c>
      <c r="H4" s="39" t="s">
        <v>41</v>
      </c>
      <c r="I4" s="39" t="s">
        <v>42</v>
      </c>
      <c r="J4" s="39" t="s">
        <v>76</v>
      </c>
      <c r="K4" s="39" t="s">
        <v>8</v>
      </c>
      <c r="L4" s="39" t="s">
        <v>9</v>
      </c>
    </row>
    <row r="5" ht="33.75" customHeight="1">
      <c r="A5" s="5"/>
      <c r="D5" s="40" t="s">
        <v>127</v>
      </c>
      <c r="E5" s="41"/>
      <c r="F5" s="42"/>
      <c r="G5" s="42"/>
      <c r="H5" s="42"/>
      <c r="I5" s="42"/>
      <c r="J5" s="43">
        <f t="shared" ref="J5:J15" si="1">SUM(F5:I5)</f>
        <v>0</v>
      </c>
      <c r="K5" s="18">
        <f t="shared" ref="K5:K15" si="2">J5/40</f>
        <v>0</v>
      </c>
      <c r="L5" s="41"/>
    </row>
    <row r="6" ht="37.5" customHeight="1">
      <c r="A6" s="5"/>
      <c r="D6" s="40" t="s">
        <v>141</v>
      </c>
      <c r="E6" s="44"/>
      <c r="F6" s="45">
        <v>9.0</v>
      </c>
      <c r="G6" s="45">
        <v>8.0</v>
      </c>
      <c r="H6" s="20">
        <v>8.5</v>
      </c>
      <c r="I6" s="45">
        <v>8.0</v>
      </c>
      <c r="J6" s="46">
        <f t="shared" si="1"/>
        <v>33.5</v>
      </c>
      <c r="K6" s="18">
        <f t="shared" si="2"/>
        <v>0.8375</v>
      </c>
      <c r="L6" s="44"/>
    </row>
    <row r="7" ht="31.5" customHeight="1">
      <c r="A7" s="21"/>
      <c r="D7" s="40" t="s">
        <v>142</v>
      </c>
      <c r="E7" s="41"/>
      <c r="F7" s="41"/>
      <c r="G7" s="41"/>
      <c r="H7" s="41"/>
      <c r="I7" s="41"/>
      <c r="J7" s="43">
        <f t="shared" si="1"/>
        <v>0</v>
      </c>
      <c r="K7" s="18">
        <f t="shared" si="2"/>
        <v>0</v>
      </c>
      <c r="L7" s="41"/>
    </row>
    <row r="8">
      <c r="A8" s="21"/>
      <c r="B8" s="22"/>
      <c r="C8" s="22"/>
      <c r="D8" s="40" t="s">
        <v>143</v>
      </c>
      <c r="E8" s="44"/>
      <c r="F8" s="45">
        <v>8.0</v>
      </c>
      <c r="G8" s="47">
        <v>9.5</v>
      </c>
      <c r="H8" s="47">
        <v>9.5</v>
      </c>
      <c r="I8" s="45">
        <v>9.0</v>
      </c>
      <c r="J8" s="46">
        <f t="shared" si="1"/>
        <v>36</v>
      </c>
      <c r="K8" s="18">
        <f t="shared" si="2"/>
        <v>0.9</v>
      </c>
      <c r="L8" s="44"/>
    </row>
    <row r="9">
      <c r="A9" s="5"/>
      <c r="D9" s="40" t="s">
        <v>144</v>
      </c>
      <c r="E9" s="41"/>
      <c r="F9" s="42">
        <v>8.0</v>
      </c>
      <c r="G9" s="42">
        <v>9.0</v>
      </c>
      <c r="H9" s="42">
        <v>8.0</v>
      </c>
      <c r="I9" s="42">
        <v>10.0</v>
      </c>
      <c r="J9" s="43">
        <f t="shared" si="1"/>
        <v>35</v>
      </c>
      <c r="K9" s="18">
        <f t="shared" si="2"/>
        <v>0.875</v>
      </c>
      <c r="L9" s="41"/>
    </row>
    <row r="10">
      <c r="A10" s="5"/>
      <c r="B10" s="22"/>
      <c r="C10" s="22"/>
      <c r="D10" s="40" t="s">
        <v>145</v>
      </c>
      <c r="E10" s="44"/>
      <c r="F10" s="45">
        <v>9.0</v>
      </c>
      <c r="G10" s="45">
        <v>8.0</v>
      </c>
      <c r="H10" s="45">
        <v>5.0</v>
      </c>
      <c r="I10" s="45">
        <v>6.0</v>
      </c>
      <c r="J10" s="46">
        <f t="shared" si="1"/>
        <v>28</v>
      </c>
      <c r="K10" s="18">
        <f t="shared" si="2"/>
        <v>0.7</v>
      </c>
      <c r="L10" s="44"/>
    </row>
    <row r="11">
      <c r="D11" s="40"/>
      <c r="E11" s="41"/>
      <c r="F11" s="42"/>
      <c r="G11" s="41"/>
      <c r="H11" s="41"/>
      <c r="I11" s="41"/>
      <c r="J11" s="43">
        <f t="shared" si="1"/>
        <v>0</v>
      </c>
      <c r="K11" s="18">
        <f t="shared" si="2"/>
        <v>0</v>
      </c>
      <c r="L11" s="41"/>
    </row>
    <row r="12">
      <c r="A12" s="22"/>
      <c r="B12" s="22"/>
      <c r="C12" s="22"/>
      <c r="D12" s="40"/>
      <c r="E12" s="44"/>
      <c r="F12" s="44"/>
      <c r="G12" s="44"/>
      <c r="H12" s="44"/>
      <c r="I12" s="44"/>
      <c r="J12" s="46">
        <f t="shared" si="1"/>
        <v>0</v>
      </c>
      <c r="K12" s="18">
        <f t="shared" si="2"/>
        <v>0</v>
      </c>
      <c r="L12" s="44"/>
    </row>
    <row r="13">
      <c r="D13" s="40"/>
      <c r="E13" s="41"/>
      <c r="F13" s="41"/>
      <c r="G13" s="41"/>
      <c r="H13" s="41"/>
      <c r="I13" s="41"/>
      <c r="J13" s="43">
        <f t="shared" si="1"/>
        <v>0</v>
      </c>
      <c r="K13" s="18">
        <f t="shared" si="2"/>
        <v>0</v>
      </c>
      <c r="L13" s="41"/>
    </row>
    <row r="14">
      <c r="A14" s="22"/>
      <c r="B14" s="22"/>
      <c r="C14" s="22"/>
      <c r="D14" s="40"/>
      <c r="E14" s="44"/>
      <c r="F14" s="44"/>
      <c r="G14" s="44"/>
      <c r="H14" s="44"/>
      <c r="I14" s="44"/>
      <c r="J14" s="46">
        <f t="shared" si="1"/>
        <v>0</v>
      </c>
      <c r="K14" s="18">
        <f t="shared" si="2"/>
        <v>0</v>
      </c>
      <c r="L14" s="44"/>
    </row>
    <row r="15">
      <c r="D15" s="40"/>
      <c r="E15" s="41"/>
      <c r="F15" s="41"/>
      <c r="G15" s="41"/>
      <c r="H15" s="41"/>
      <c r="I15" s="41"/>
      <c r="J15" s="43">
        <f t="shared" si="1"/>
        <v>0</v>
      </c>
      <c r="K15" s="18">
        <f t="shared" si="2"/>
        <v>0</v>
      </c>
      <c r="L15" s="41"/>
    </row>
    <row r="16">
      <c r="A16" s="22"/>
      <c r="B16" s="22"/>
      <c r="C16" s="22"/>
      <c r="F16" s="48"/>
      <c r="G16" s="48"/>
      <c r="H16" s="48"/>
      <c r="I16" s="48"/>
      <c r="J16" s="48"/>
      <c r="K16" s="48"/>
    </row>
    <row r="18">
      <c r="A18" s="22"/>
    </row>
    <row r="20">
      <c r="A20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1:L1"/>
    <mergeCell ref="E2:L2"/>
  </mergeCells>
  <printOptions/>
  <pageMargins bottom="1.0" footer="0.0" header="0.0" left="0.75" right="0.75" top="1.0"/>
  <pageSetup orientation="landscape"/>
  <drawing r:id="rId1"/>
</worksheet>
</file>